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"/>
    </mc:Choice>
  </mc:AlternateContent>
  <xr:revisionPtr revIDLastSave="8" documentId="13_ncr:1_{5C631CBC-8300-44AB-B248-8C1C98C38E88}" xr6:coauthVersionLast="47" xr6:coauthVersionMax="47" xr10:uidLastSave="{E90EF7AE-6CD5-4A23-8836-121B35E40CFD}"/>
  <bookViews>
    <workbookView xWindow="28680" yWindow="-21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6" i="2" s="1"/>
  <c r="B17" i="2" s="1"/>
</calcChain>
</file>

<file path=xl/sharedStrings.xml><?xml version="1.0" encoding="utf-8"?>
<sst xmlns="http://schemas.openxmlformats.org/spreadsheetml/2006/main" count="65" uniqueCount="52">
  <si>
    <t>Adjacent literature</t>
  </si>
  <si>
    <t>Journal</t>
  </si>
  <si>
    <t>Article</t>
  </si>
  <si>
    <t>Year</t>
  </si>
  <si>
    <t>Energy</t>
  </si>
  <si>
    <t>New rolling horizon optimization approaches to balance short-term and long-term decisions: An application to energy planning.</t>
  </si>
  <si>
    <t>Energy Economics</t>
  </si>
  <si>
    <t>Reinforcement learning for bidding strategy optimization in day-ahead energy market.</t>
  </si>
  <si>
    <t>The Energy Journal</t>
  </si>
  <si>
    <t>European Journal of Operational Research</t>
  </si>
  <si>
    <t>A rolling-horizon approach for multi-period optimization.</t>
  </si>
  <si>
    <t>Energy Systems</t>
  </si>
  <si>
    <t>A stochastic program for biomass contract selection under demand uncertainty.</t>
  </si>
  <si>
    <t>The value of rolling-horizon policies for risk-averse hydro-thermal planning.</t>
  </si>
  <si>
    <t>Sustainable Energy, Grids and Networks</t>
  </si>
  <si>
    <t>Betting vs. trading: Learning a linear decision policy for selling wind power and hydrogen.</t>
  </si>
  <si>
    <t>Stochastic adaptive robust approach for day-ahead energy market bidding strategies in hydro dominated sequential electricity markets.</t>
  </si>
  <si>
    <t>Energies</t>
  </si>
  <si>
    <t>Energy management of industrial energy systems via rolling horizon and hybrid optimization: A real-plant application in Germany.</t>
  </si>
  <si>
    <t>Applied Energy</t>
  </si>
  <si>
    <t>A rolling horizon optimization framework for the simultaneous energy supply and demand planning in microgrids.</t>
  </si>
  <si>
    <t>IEEE Transactions on Sustainable Energy</t>
  </si>
  <si>
    <t>Long-term and short-term coordinated scheduling for wind-PV-hydro-storage hybrid energy system based on deep reinforcement learning.</t>
  </si>
  <si>
    <t>Suggested additional literature</t>
  </si>
  <si>
    <t>Combined scheduling and capacity planning of electricity-based ammonia production to integrate renewable energies.</t>
  </si>
  <si>
    <t>Renewable and Sustainable Energy Reviews</t>
  </si>
  <si>
    <t>Water electrolyzer operation scheduling for green hydrogen production: A review.</t>
  </si>
  <si>
    <t>International Journal of Hydrogen Energy</t>
  </si>
  <si>
    <t>Dynamic dispatch optimization of green hydrogen electrolyzers under price volatility: A real options approach.</t>
  </si>
  <si>
    <t>Frontiers in Energy Research</t>
  </si>
  <si>
    <t>Multi-time-scale economic scheduling method for electro-hydrogen integrated energy system based on day-ahead long-time-scale and intra-day MPC hierarchical rolling optimization.</t>
  </si>
  <si>
    <t>Optimal capacity and multi-stable flexible operation strategy of green ammonia systems: Adapting to fluctuations in renewable energy.</t>
  </si>
  <si>
    <t>Processes</t>
  </si>
  <si>
    <t>A two-stage stochastic programming approach for the design of renewable ammonia supply chain networks.</t>
  </si>
  <si>
    <t>Computers &amp; Chemical Engineering</t>
  </si>
  <si>
    <t>A multistage stochastic programming approach for renewable ammonia supply chain network design.</t>
  </si>
  <si>
    <t>Valuation of power purchase agreements for corporate renewable energy procurement.</t>
  </si>
  <si>
    <t>Stochastic optimization and uncertainty quantification of nuclear-renewable hybrid energy systems for flexible power applications in deregulated markets.</t>
  </si>
  <si>
    <t>Oxford Energy Forum (OIES Paper)</t>
  </si>
  <si>
    <t>Can UK green hydrogen contract for difference (CfD) match the cost-saving success of renewable electricity?</t>
  </si>
  <si>
    <t>Mitigating long-term financial risk for large customers via a hybrid procurement strategy considering power purchase agreements.</t>
  </si>
  <si>
    <t>Mitigating financial risk of corporate power purchase agreements via portfolio optimization.</t>
  </si>
  <si>
    <t>Nature Communications</t>
  </si>
  <si>
    <t>Energy and climate policy implications on the deployment of low-carbon ammonia technologies.</t>
  </si>
  <si>
    <t>Total</t>
  </si>
  <si>
    <t>Perfect total</t>
  </si>
  <si>
    <t>Earnings</t>
  </si>
  <si>
    <t>Regret</t>
  </si>
  <si>
    <t>Hindsight model full horizon vs year-by-year horizon</t>
  </si>
  <si>
    <t>The impact of two-sided contracts for difference on debt sizing for offshore wind farms.</t>
  </si>
  <si>
    <t>Long-term design and analysis of renewable fuel supply chains – An integrated approach considering seasonal resource availability</t>
  </si>
  <si>
    <t>EJOR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</si>
</sst>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6"/>
      <color rgb="FF0F4761"/>
      <name val="Aptos Display"/>
      <family val="2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i/>
      <sz val="12"/>
      <color theme="1"/>
      <name val="Aptos"/>
      <family val="2"/>
    </font>
    <font>
      <b/>
      <sz val="12"/>
      <color rgb="FF000000"/>
      <name val="Aptos"/>
    </font>
    <font>
      <sz val="12"/>
      <color rgb="FF000000"/>
      <name val="Aptos"/>
    </font>
    <font>
      <i/>
      <sz val="12"/>
      <name val="Aptos"/>
    </font>
    <font>
      <sz val="12"/>
      <name val="Aptos"/>
    </font>
    <font>
      <sz val="11"/>
      <color theme="1"/>
      <name val="Calibri"/>
      <family val="2"/>
      <scheme val="minor"/>
    </font>
    <font>
      <sz val="11"/>
      <color rgb="FFBBBEBF"/>
      <name val="Consolas"/>
      <family val="3"/>
    </font>
    <font>
      <sz val="11"/>
      <color theme="1"/>
      <name val="Consolas"/>
      <family val="3"/>
    </font>
    <font>
      <sz val="12"/>
      <name val="Aptos"/>
      <family val="2"/>
    </font>
    <font>
      <i/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  <fill>
      <patternFill patternType="solid">
        <fgColor rgb="FFD1D1D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10" fontId="12" fillId="0" borderId="0" xfId="1" applyNumberFormat="1" applyFont="1"/>
    <xf numFmtId="0" fontId="1" fillId="0" borderId="0" xfId="0" applyFont="1"/>
    <xf numFmtId="0" fontId="9" fillId="0" borderId="1" xfId="0" applyFont="1" applyBorder="1" applyAlignment="1">
      <alignment wrapText="1"/>
    </xf>
    <xf numFmtId="0" fontId="6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8" fillId="0" borderId="5" xfId="0" applyFont="1" applyBorder="1"/>
    <xf numFmtId="0" fontId="9" fillId="0" borderId="6" xfId="0" applyFont="1" applyBorder="1"/>
    <xf numFmtId="0" fontId="8" fillId="0" borderId="7" xfId="0" applyFont="1" applyBorder="1"/>
    <xf numFmtId="0" fontId="9" fillId="0" borderId="8" xfId="0" applyFont="1" applyBorder="1" applyAlignment="1">
      <alignment wrapText="1"/>
    </xf>
    <xf numFmtId="0" fontId="9" fillId="0" borderId="9" xfId="0" applyFont="1" applyBorder="1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3" fillId="0" borderId="0" xfId="0" applyFont="1" applyFill="1" applyBorder="1"/>
    <xf numFmtId="0" fontId="14" fillId="0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1"/>
  <sheetViews>
    <sheetView tabSelected="1" topLeftCell="A25" workbookViewId="0">
      <selection activeCell="B40" sqref="B40"/>
    </sheetView>
  </sheetViews>
  <sheetFormatPr defaultRowHeight="15" x14ac:dyDescent="0.25"/>
  <cols>
    <col min="2" max="2" width="45" customWidth="1"/>
    <col min="3" max="3" width="78.5703125" customWidth="1"/>
    <col min="4" max="4" width="8" customWidth="1"/>
  </cols>
  <sheetData>
    <row r="1" spans="2:4" ht="21.75" customHeight="1" thickBot="1" x14ac:dyDescent="0.3">
      <c r="B1" s="1" t="s">
        <v>0</v>
      </c>
    </row>
    <row r="2" spans="2:4" ht="16.5" customHeight="1" x14ac:dyDescent="0.25">
      <c r="B2" s="16" t="s">
        <v>1</v>
      </c>
      <c r="C2" s="17" t="s">
        <v>2</v>
      </c>
      <c r="D2" s="18" t="s">
        <v>3</v>
      </c>
    </row>
    <row r="3" spans="2:4" ht="32.25" customHeight="1" x14ac:dyDescent="0.25">
      <c r="B3" s="19" t="s">
        <v>4</v>
      </c>
      <c r="C3" s="15" t="s">
        <v>5</v>
      </c>
      <c r="D3" s="20">
        <v>2022</v>
      </c>
    </row>
    <row r="4" spans="2:4" ht="32.25" customHeight="1" x14ac:dyDescent="0.25">
      <c r="B4" s="19" t="s">
        <v>6</v>
      </c>
      <c r="C4" s="15" t="s">
        <v>7</v>
      </c>
      <c r="D4" s="20">
        <v>2025</v>
      </c>
    </row>
    <row r="5" spans="2:4" ht="33" customHeight="1" x14ac:dyDescent="0.25">
      <c r="B5" s="19" t="s">
        <v>8</v>
      </c>
      <c r="C5" s="15" t="s">
        <v>49</v>
      </c>
      <c r="D5" s="20">
        <v>2025</v>
      </c>
    </row>
    <row r="6" spans="2:4" ht="32.25" customHeight="1" x14ac:dyDescent="0.25">
      <c r="B6" s="19" t="s">
        <v>9</v>
      </c>
      <c r="C6" s="15" t="s">
        <v>10</v>
      </c>
      <c r="D6" s="20">
        <v>2022</v>
      </c>
    </row>
    <row r="7" spans="2:4" ht="32.25" customHeight="1" x14ac:dyDescent="0.25">
      <c r="B7" s="19" t="s">
        <v>11</v>
      </c>
      <c r="C7" s="15" t="s">
        <v>12</v>
      </c>
      <c r="D7" s="20">
        <v>2022</v>
      </c>
    </row>
    <row r="8" spans="2:4" ht="32.25" customHeight="1" x14ac:dyDescent="0.25">
      <c r="B8" s="19" t="s">
        <v>9</v>
      </c>
      <c r="C8" s="15" t="s">
        <v>13</v>
      </c>
      <c r="D8" s="20">
        <v>2012</v>
      </c>
    </row>
    <row r="9" spans="2:4" ht="32.25" customHeight="1" x14ac:dyDescent="0.25">
      <c r="B9" s="19" t="s">
        <v>14</v>
      </c>
      <c r="C9" s="15" t="s">
        <v>15</v>
      </c>
      <c r="D9" s="20">
        <v>2025</v>
      </c>
    </row>
    <row r="10" spans="2:4" ht="32.25" customHeight="1" x14ac:dyDescent="0.25">
      <c r="B10" s="19" t="s">
        <v>14</v>
      </c>
      <c r="C10" s="15" t="s">
        <v>16</v>
      </c>
      <c r="D10" s="20">
        <v>2022</v>
      </c>
    </row>
    <row r="11" spans="2:4" ht="32.25" customHeight="1" x14ac:dyDescent="0.25">
      <c r="B11" s="19" t="s">
        <v>17</v>
      </c>
      <c r="C11" s="15" t="s">
        <v>18</v>
      </c>
      <c r="D11" s="20">
        <v>2025</v>
      </c>
    </row>
    <row r="12" spans="2:4" ht="32.25" customHeight="1" x14ac:dyDescent="0.25">
      <c r="B12" s="19" t="s">
        <v>19</v>
      </c>
      <c r="C12" s="15" t="s">
        <v>20</v>
      </c>
      <c r="D12" s="20">
        <v>2015</v>
      </c>
    </row>
    <row r="13" spans="2:4" ht="32.25" customHeight="1" thickBot="1" x14ac:dyDescent="0.3">
      <c r="B13" s="21" t="s">
        <v>21</v>
      </c>
      <c r="C13" s="22" t="s">
        <v>22</v>
      </c>
      <c r="D13" s="23">
        <v>2025</v>
      </c>
    </row>
    <row r="15" spans="2:4" ht="21.75" thickBot="1" x14ac:dyDescent="0.4">
      <c r="B15" s="5" t="s">
        <v>23</v>
      </c>
    </row>
    <row r="16" spans="2:4" ht="15.75" x14ac:dyDescent="0.25">
      <c r="B16" s="7" t="s">
        <v>1</v>
      </c>
      <c r="C16" s="8" t="s">
        <v>2</v>
      </c>
      <c r="D16" s="9" t="s">
        <v>3</v>
      </c>
    </row>
    <row r="17" spans="2:4" ht="31.5" x14ac:dyDescent="0.25">
      <c r="B17" s="10" t="s">
        <v>9</v>
      </c>
      <c r="C17" s="6" t="s">
        <v>24</v>
      </c>
      <c r="D17" s="11">
        <v>2015</v>
      </c>
    </row>
    <row r="18" spans="2:4" ht="31.5" x14ac:dyDescent="0.25">
      <c r="B18" s="10" t="s">
        <v>25</v>
      </c>
      <c r="C18" s="6" t="s">
        <v>26</v>
      </c>
      <c r="D18" s="11">
        <v>2024</v>
      </c>
    </row>
    <row r="19" spans="2:4" ht="31.5" x14ac:dyDescent="0.25">
      <c r="B19" s="10" t="s">
        <v>27</v>
      </c>
      <c r="C19" s="6" t="s">
        <v>28</v>
      </c>
      <c r="D19" s="11">
        <v>2025</v>
      </c>
    </row>
    <row r="20" spans="2:4" ht="47.25" x14ac:dyDescent="0.25">
      <c r="B20" s="10" t="s">
        <v>29</v>
      </c>
      <c r="C20" s="6" t="s">
        <v>30</v>
      </c>
      <c r="D20" s="11">
        <v>2023</v>
      </c>
    </row>
    <row r="21" spans="2:4" ht="31.5" x14ac:dyDescent="0.25">
      <c r="B21" s="10" t="s">
        <v>27</v>
      </c>
      <c r="C21" s="6" t="s">
        <v>31</v>
      </c>
      <c r="D21" s="11">
        <v>2023</v>
      </c>
    </row>
    <row r="22" spans="2:4" ht="31.5" x14ac:dyDescent="0.25">
      <c r="B22" s="10" t="s">
        <v>32</v>
      </c>
      <c r="C22" s="6" t="s">
        <v>33</v>
      </c>
      <c r="D22" s="11">
        <v>2024</v>
      </c>
    </row>
    <row r="23" spans="2:4" ht="31.5" x14ac:dyDescent="0.25">
      <c r="B23" s="10" t="s">
        <v>34</v>
      </c>
      <c r="C23" s="6" t="s">
        <v>35</v>
      </c>
      <c r="D23" s="11">
        <v>2025</v>
      </c>
    </row>
    <row r="24" spans="2:4" ht="31.5" x14ac:dyDescent="0.25">
      <c r="B24" s="10" t="s">
        <v>6</v>
      </c>
      <c r="C24" s="6" t="s">
        <v>36</v>
      </c>
      <c r="D24" s="11">
        <v>2025</v>
      </c>
    </row>
    <row r="25" spans="2:4" ht="47.25" x14ac:dyDescent="0.25">
      <c r="B25" s="10" t="s">
        <v>19</v>
      </c>
      <c r="C25" s="6" t="s">
        <v>37</v>
      </c>
      <c r="D25" s="11">
        <v>2024</v>
      </c>
    </row>
    <row r="26" spans="2:4" ht="31.5" x14ac:dyDescent="0.25">
      <c r="B26" s="10" t="s">
        <v>38</v>
      </c>
      <c r="C26" s="6" t="s">
        <v>39</v>
      </c>
      <c r="D26" s="11">
        <v>2024</v>
      </c>
    </row>
    <row r="27" spans="2:4" ht="31.5" x14ac:dyDescent="0.25">
      <c r="B27" s="10" t="s">
        <v>19</v>
      </c>
      <c r="C27" s="6" t="s">
        <v>40</v>
      </c>
      <c r="D27" s="11">
        <v>2024</v>
      </c>
    </row>
    <row r="28" spans="2:4" ht="31.5" x14ac:dyDescent="0.25">
      <c r="B28" s="10" t="s">
        <v>6</v>
      </c>
      <c r="C28" s="6" t="s">
        <v>41</v>
      </c>
      <c r="D28" s="11">
        <v>2022</v>
      </c>
    </row>
    <row r="29" spans="2:4" ht="32.25" thickBot="1" x14ac:dyDescent="0.3">
      <c r="B29" s="12" t="s">
        <v>42</v>
      </c>
      <c r="C29" s="13" t="s">
        <v>43</v>
      </c>
      <c r="D29" s="14">
        <v>2025</v>
      </c>
    </row>
    <row r="31" spans="2:4" ht="31.5" x14ac:dyDescent="0.25">
      <c r="B31" s="26" t="s">
        <v>51</v>
      </c>
      <c r="C31" s="24" t="s">
        <v>50</v>
      </c>
      <c r="D31" s="25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89BE-CB11-4EF3-B40F-9584DEB1EDDE}">
  <dimension ref="A1:B17"/>
  <sheetViews>
    <sheetView workbookViewId="0">
      <selection activeCell="A8" sqref="A8"/>
    </sheetView>
  </sheetViews>
  <sheetFormatPr defaultRowHeight="15" x14ac:dyDescent="0.25"/>
  <cols>
    <col min="1" max="1" width="12.7109375" customWidth="1"/>
    <col min="2" max="2" width="24.85546875" customWidth="1"/>
  </cols>
  <sheetData>
    <row r="1" spans="1:2" x14ac:dyDescent="0.25">
      <c r="A1" t="s">
        <v>48</v>
      </c>
    </row>
    <row r="4" spans="1:2" x14ac:dyDescent="0.25">
      <c r="A4" t="s">
        <v>3</v>
      </c>
      <c r="B4" t="s">
        <v>46</v>
      </c>
    </row>
    <row r="5" spans="1:2" x14ac:dyDescent="0.25">
      <c r="A5">
        <v>2017</v>
      </c>
      <c r="B5" s="2">
        <v>29124164</v>
      </c>
    </row>
    <row r="6" spans="1:2" x14ac:dyDescent="0.25">
      <c r="A6">
        <v>2018</v>
      </c>
      <c r="B6" s="2">
        <v>29367026</v>
      </c>
    </row>
    <row r="7" spans="1:2" x14ac:dyDescent="0.25">
      <c r="A7">
        <v>2019</v>
      </c>
      <c r="B7" s="2">
        <v>27839542</v>
      </c>
    </row>
    <row r="8" spans="1:2" x14ac:dyDescent="0.25">
      <c r="A8">
        <v>2020</v>
      </c>
      <c r="B8" s="2">
        <v>31397210</v>
      </c>
    </row>
    <row r="9" spans="1:2" x14ac:dyDescent="0.25">
      <c r="A9">
        <v>2021</v>
      </c>
      <c r="B9" s="2">
        <v>72242271</v>
      </c>
    </row>
    <row r="10" spans="1:2" x14ac:dyDescent="0.25">
      <c r="A10">
        <v>2022</v>
      </c>
      <c r="B10" s="2">
        <v>61579044</v>
      </c>
    </row>
    <row r="11" spans="1:2" x14ac:dyDescent="0.25">
      <c r="A11">
        <v>2023</v>
      </c>
      <c r="B11" s="2">
        <v>41300631</v>
      </c>
    </row>
    <row r="12" spans="1:2" x14ac:dyDescent="0.25">
      <c r="A12">
        <v>2024</v>
      </c>
      <c r="B12" s="2">
        <v>47781889</v>
      </c>
    </row>
    <row r="13" spans="1:2" x14ac:dyDescent="0.25">
      <c r="A13" t="s">
        <v>44</v>
      </c>
      <c r="B13" s="3">
        <f>SUM(B5:B12)</f>
        <v>340631777</v>
      </c>
    </row>
    <row r="15" spans="1:2" x14ac:dyDescent="0.25">
      <c r="A15" t="s">
        <v>45</v>
      </c>
      <c r="B15" s="2">
        <v>355052399</v>
      </c>
    </row>
    <row r="16" spans="1:2" x14ac:dyDescent="0.25">
      <c r="A16" t="s">
        <v>47</v>
      </c>
      <c r="B16" s="3">
        <f>B15-B13</f>
        <v>14420622</v>
      </c>
    </row>
    <row r="17" spans="1:2" x14ac:dyDescent="0.25">
      <c r="A17" t="s">
        <v>47</v>
      </c>
      <c r="B17" s="4">
        <f>B16/B15</f>
        <v>4.0615475463946941E-2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Frederik Skou Fertin</cp:lastModifiedBy>
  <dcterms:created xsi:type="dcterms:W3CDTF">2026-03-09T07:47:46Z</dcterms:created>
  <dcterms:modified xsi:type="dcterms:W3CDTF">2026-04-16T13:09:14Z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0x010100B4761F6CDF460C4A869B7ECFC2C20C5D</vt:lpwstr>
  </property>
</Properties>
</file>