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fskfe_dtu_dk/Documents/Dokumenter/DTU_Man/Speciale/setup_files/"/>
    </mc:Choice>
  </mc:AlternateContent>
  <xr:revisionPtr revIDLastSave="767" documentId="8_{3A720C2A-8BB2-46CC-9A31-194013BDD676}" xr6:coauthVersionLast="47" xr6:coauthVersionMax="47" xr10:uidLastSave="{95113188-F1CF-464B-81F7-5C0169B3ACBB}"/>
  <bookViews>
    <workbookView xWindow="-120" yWindow="-120" windowWidth="29040" windowHeight="15720" activeTab="2" xr2:uid="{7643C590-AB87-4ECC-9949-F1DE609BD7D2}"/>
  </bookViews>
  <sheets>
    <sheet name="Scenarios" sheetId="7" r:id="rId1"/>
    <sheet name="Carriers" sheetId="3" r:id="rId2"/>
    <sheet name="Components" sheetId="1" r:id="rId3"/>
    <sheet name="Contracts" sheetId="2" r:id="rId4"/>
    <sheet name="PPAs" sheetId="5" r:id="rId5"/>
    <sheet name="Annual Contract Summari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2" i="1"/>
  <c r="E16" i="7"/>
  <c r="F4" i="2"/>
  <c r="E15" i="7"/>
  <c r="E14" i="7"/>
  <c r="E12" i="7"/>
  <c r="C8" i="6"/>
  <c r="C4" i="6"/>
  <c r="B8" i="6"/>
  <c r="A9" i="6"/>
  <c r="A8" i="6"/>
  <c r="B4" i="6"/>
  <c r="A4" i="6"/>
  <c r="A3" i="6"/>
  <c r="B3" i="6"/>
  <c r="C3" i="6" s="1"/>
  <c r="B2" i="6"/>
  <c r="A2" i="6"/>
  <c r="E4" i="2"/>
  <c r="D3" i="2"/>
  <c r="D2" i="2"/>
  <c r="F3" i="2"/>
  <c r="F2" i="2"/>
  <c r="E18" i="7"/>
  <c r="E2" i="7" l="1"/>
  <c r="E13" i="7"/>
  <c r="E6" i="7"/>
  <c r="E4" i="7"/>
  <c r="E9" i="7"/>
  <c r="E7" i="7"/>
  <c r="E10" i="7"/>
  <c r="E8" i="7"/>
  <c r="E17" i="7"/>
  <c r="B5" i="6"/>
  <c r="C2" i="6"/>
  <c r="C5" i="6" s="1"/>
  <c r="C8" i="1"/>
  <c r="E3" i="2"/>
  <c r="C9" i="6" l="1"/>
  <c r="C10" i="6" s="1"/>
  <c r="B9" i="6"/>
  <c r="B10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Frederik Skou Fertin</author>
  </authors>
  <commentList>
    <comment ref="A1" authorId="0" shapeId="0" xr:uid="{38D2FF17-1B12-4FD8-892C-AC0D7AB10AA0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What scenario is this change connected to?</t>
        </r>
      </text>
    </comment>
    <comment ref="B1" authorId="0" shapeId="0" xr:uid="{092117FD-972D-4BCE-A479-671B234E65FB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Is it (component, contract, ppa)?</t>
        </r>
      </text>
    </comment>
    <comment ref="C1" authorId="0" shapeId="0" xr:uid="{B1FA9018-3FD9-4F79-BBAF-DF9DBC1279C5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What is the name of the thing changed?</t>
        </r>
      </text>
    </comment>
    <comment ref="D1" authorId="0" shapeId="0" xr:uid="{E3973579-80BC-4E93-968E-326BDA3061BA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What is the Parameter changed (price, capacity, volume, etc)</t>
        </r>
      </text>
    </comment>
    <comment ref="E1" authorId="0" shapeId="0" xr:uid="{E0F45131-CAB8-45C4-95C5-85F58411B907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What is the new value in the scenario?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Frederik Skou Fertin</author>
  </authors>
  <commentList>
    <comment ref="A1" authorId="0" shapeId="0" xr:uid="{E4CB2F69-B3C5-478A-BCC4-1CAC1308E333}">
      <text>
        <r>
          <rPr>
            <b/>
            <sz val="9"/>
            <color indexed="81"/>
            <rFont val="Tahoma"/>
            <family val="2"/>
          </rPr>
          <t>Frederik Skou Fertin:
Incompatible with '-' in the name of a unit.</t>
        </r>
      </text>
    </comment>
    <comment ref="C1" authorId="0" shapeId="0" xr:uid="{ED905FE6-28F7-41E7-B741-07C0E5D321D7}">
      <text>
        <r>
          <rPr>
            <b/>
            <sz val="9"/>
            <color indexed="81"/>
            <rFont val="Tahoma"/>
            <charset val="1"/>
          </rPr>
          <t>Frederik Skou Fertin:</t>
        </r>
        <r>
          <rPr>
            <sz val="9"/>
            <color indexed="81"/>
            <rFont val="Tahoma"/>
            <charset val="1"/>
          </rPr>
          <t xml:space="preserve">
In units of output.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Frederik Skou Fertin</author>
  </authors>
  <commentList>
    <comment ref="C1" authorId="0" shapeId="0" xr:uid="{80B8BD84-C120-4CF8-9CBF-A99A73B6A1C8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€/t</t>
        </r>
      </text>
    </comment>
    <comment ref="F1" authorId="0" shapeId="0" xr:uid="{0BFF4858-E6D3-4475-B27D-FD3088427621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Shipment capacity upper bound.</t>
        </r>
      </text>
    </comment>
    <comment ref="E3" authorId="0" shapeId="0" xr:uid="{40EC406C-3811-46B7-8D89-66E3F9550F13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Half of the NH3 capacity is contracted away.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Frederik Skou Fertin</author>
  </authors>
  <commentList>
    <comment ref="G1" authorId="0" shapeId="0" xr:uid="{81CBFBB2-BCE5-440F-9F42-480A77FB4E74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€/MWh</t>
        </r>
      </text>
    </comment>
  </commentList>
</comments>
</file>

<file path=xl/sharedStrings.xml><?xml version="1.0" encoding="utf-8"?>
<sst xmlns="http://schemas.openxmlformats.org/spreadsheetml/2006/main" count="231" uniqueCount="115">
  <si>
    <t>Electrolyzer</t>
  </si>
  <si>
    <t>name</t>
  </si>
  <si>
    <t>type</t>
  </si>
  <si>
    <t>capacity</t>
  </si>
  <si>
    <t>consumes</t>
  </si>
  <si>
    <t>produces</t>
  </si>
  <si>
    <t>notes</t>
  </si>
  <si>
    <t>SolarPower</t>
  </si>
  <si>
    <t>solar</t>
  </si>
  <si>
    <t>WindPower</t>
  </si>
  <si>
    <t>wind</t>
  </si>
  <si>
    <t>link</t>
  </si>
  <si>
    <t>hydrogen</t>
  </si>
  <si>
    <t>Hydrogen Pipeline</t>
  </si>
  <si>
    <t>Hydrogen Storage</t>
  </si>
  <si>
    <t>storage</t>
  </si>
  <si>
    <t>ammonia</t>
  </si>
  <si>
    <t>Ammonia Storage</t>
  </si>
  <si>
    <t>Ammonia Shipment</t>
  </si>
  <si>
    <t>price</t>
  </si>
  <si>
    <t>volume</t>
  </si>
  <si>
    <t>hourly</t>
  </si>
  <si>
    <t>yearly</t>
  </si>
  <si>
    <t>hydrogen_offtake</t>
  </si>
  <si>
    <t>ammonia_offtake</t>
  </si>
  <si>
    <t>simulated</t>
  </si>
  <si>
    <t>NuclearPower</t>
  </si>
  <si>
    <t>nuclear</t>
  </si>
  <si>
    <t>offtaker</t>
  </si>
  <si>
    <t>t</t>
  </si>
  <si>
    <t>MWh</t>
  </si>
  <si>
    <t>default_unit</t>
  </si>
  <si>
    <t>annual_cf</t>
  </si>
  <si>
    <t>Hydrogen1</t>
  </si>
  <si>
    <t>Ammonia1</t>
  </si>
  <si>
    <t>target_frequency</t>
  </si>
  <si>
    <t>shipment_frequency</t>
  </si>
  <si>
    <t>monthly</t>
  </si>
  <si>
    <t>capacity_unit</t>
  </si>
  <si>
    <t>MW</t>
  </si>
  <si>
    <t>AmmoniaSpot</t>
  </si>
  <si>
    <t>t H2/h</t>
  </si>
  <si>
    <t>t H2</t>
  </si>
  <si>
    <t>t NH3/h</t>
  </si>
  <si>
    <t>t NH3</t>
  </si>
  <si>
    <t>resource</t>
  </si>
  <si>
    <t>cap</t>
  </si>
  <si>
    <t>Spot market contract for NH3, capped at 2000 tNH3 per shipment.</t>
  </si>
  <si>
    <t>Contract for NH3 at an agreed upon contract, and an agreed upon yearly volume.</t>
  </si>
  <si>
    <t>Hourly contract for H2 sale. Volume renegotiated every week, but price fixed.</t>
  </si>
  <si>
    <t>min_volume</t>
  </si>
  <si>
    <t>max_volume</t>
  </si>
  <si>
    <t>Solar power capacity is 400 MWp.</t>
  </si>
  <si>
    <t>Capacity of 480 Mwe equals 8.99 tH2/h. Efficiency of 53.4 MWh/tH2.</t>
  </si>
  <si>
    <t>H2 pipeline transports hydrogen to offtaker. Large capacity of 20 tH2/h.</t>
  </si>
  <si>
    <t>H2 storage of capacity at 20 tH2. Charging efficiency of 0.94 MWh/tH2, due to compressor consumption.</t>
  </si>
  <si>
    <t>Ammonia synthesis rate is 5.5 tNH3/tH2. Electricity consumption for other processes is 1.65 MWh/tNH3.</t>
  </si>
  <si>
    <t>Shipment which is the main channel of ammonia offtake.</t>
  </si>
  <si>
    <t>Grid connection point with a capacity of 562.5 MW. Allows for max operation of ammonia and hydrogen plants.</t>
  </si>
  <si>
    <t>Baseload PPA of 50 MW.</t>
  </si>
  <si>
    <t>penalty</t>
  </si>
  <si>
    <t>spot_contract</t>
  </si>
  <si>
    <t>grid_electricity</t>
  </si>
  <si>
    <t>plant_electricity</t>
  </si>
  <si>
    <t>ElectricitySpot</t>
  </si>
  <si>
    <t>Capacity to allow for sale of all PPA, or buy of all GCP capacity.</t>
  </si>
  <si>
    <t>availability</t>
  </si>
  <si>
    <t>Haber Bosch Plant</t>
  </si>
  <si>
    <t>Grid Connection Point</t>
  </si>
  <si>
    <t>dayahead</t>
  </si>
  <si>
    <t>ppa</t>
  </si>
  <si>
    <t>Storage capacity is 31 days continuous maximum production. Small consumption for inflow, to avoid simultaneous in- and outflow.</t>
  </si>
  <si>
    <t>Total</t>
  </si>
  <si>
    <t>PPA</t>
  </si>
  <si>
    <t>Power [GWh]</t>
  </si>
  <si>
    <t>Contract</t>
  </si>
  <si>
    <t>Cost [M€]</t>
  </si>
  <si>
    <t>Revenue [M€]</t>
  </si>
  <si>
    <t>Changed Parameter</t>
  </si>
  <si>
    <t>Changed Type</t>
  </si>
  <si>
    <t>New Value</t>
  </si>
  <si>
    <t>contract</t>
  </si>
  <si>
    <t>Changed Object</t>
  </si>
  <si>
    <t>80percent_ammonia</t>
  </si>
  <si>
    <t>Scenario Name</t>
  </si>
  <si>
    <t>70percent_ammonia</t>
  </si>
  <si>
    <t>60percent_ammonia</t>
  </si>
  <si>
    <t>50percent_ammonia</t>
  </si>
  <si>
    <t>40percent_ammonia</t>
  </si>
  <si>
    <t>no_solar_power</t>
  </si>
  <si>
    <t>high_RE_level</t>
  </si>
  <si>
    <t>Wind power capacity is 300 MW.</t>
  </si>
  <si>
    <t>component</t>
  </si>
  <si>
    <t>30percent_ammonia</t>
  </si>
  <si>
    <t>20percent_ammonia</t>
  </si>
  <si>
    <t>base_case_no_spot</t>
  </si>
  <si>
    <t>[da_electricity,id_electricity]</t>
  </si>
  <si>
    <t>[water,plant_electricity]</t>
  </si>
  <si>
    <t>[hydrogen,plant_electricity]</t>
  </si>
  <si>
    <t>[ammonia,plant_electricity]</t>
  </si>
  <si>
    <t>[grid_electricity]</t>
  </si>
  <si>
    <t>[hydrogen]</t>
  </si>
  <si>
    <t>[ammonia]</t>
  </si>
  <si>
    <t>[1,1]</t>
  </si>
  <si>
    <t>[0.99]</t>
  </si>
  <si>
    <t>input_rate</t>
  </si>
  <si>
    <t>output_rate</t>
  </si>
  <si>
    <t>[1]</t>
  </si>
  <si>
    <t>[1,0.94]</t>
  </si>
  <si>
    <t>[plant_electricity]</t>
  </si>
  <si>
    <t>[hydrogen_offtake]</t>
  </si>
  <si>
    <t>[ammonia_offtake]</t>
  </si>
  <si>
    <t>[9,53.4]</t>
  </si>
  <si>
    <t>[0.18,1.65]</t>
  </si>
  <si>
    <t>[1,0.001]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</si>
</sst>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3" borderId="0" xfId="0" applyFill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164" fontId="0" fillId="0" borderId="0" xfId="0" applyNumberFormat="1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DA30-87E6-4FE5-BCAE-7905C7ABE8F6}">
  <dimension ref="A1:E18"/>
  <sheetViews>
    <sheetView workbookViewId="0">
      <selection activeCell="G13" sqref="G13"/>
    </sheetView>
  </sheetViews>
  <sheetFormatPr defaultRowHeight="15" x14ac:dyDescent="0.25"/>
  <cols>
    <col min="1" max="1" width="18.7109375" customWidth="1"/>
    <col min="2" max="2" width="14.85546875" customWidth="1"/>
    <col min="3" max="3" width="19.42578125" customWidth="1"/>
    <col min="4" max="4" width="18.28515625" customWidth="1"/>
    <col min="5" max="5" width="11" customWidth="1"/>
  </cols>
  <sheetData>
    <row r="1" spans="1:5" x14ac:dyDescent="0.25">
      <c r="A1" s="11" t="s">
        <v>84</v>
      </c>
      <c r="B1" s="11" t="s">
        <v>79</v>
      </c>
      <c r="C1" s="11" t="s">
        <v>82</v>
      </c>
      <c r="D1" s="11" t="s">
        <v>78</v>
      </c>
      <c r="E1" s="11" t="s">
        <v>80</v>
      </c>
    </row>
    <row r="2" spans="1:5" x14ac:dyDescent="0.25">
      <c r="A2" t="s">
        <v>83</v>
      </c>
      <c r="B2" t="s">
        <v>81</v>
      </c>
      <c r="C2" t="s">
        <v>34</v>
      </c>
      <c r="D2" t="s">
        <v>20</v>
      </c>
      <c r="E2">
        <f>Components!C7*8760*0.8</f>
        <v>175200</v>
      </c>
    </row>
    <row r="3" spans="1:5" x14ac:dyDescent="0.25">
      <c r="A3" t="s">
        <v>83</v>
      </c>
      <c r="B3" t="s">
        <v>92</v>
      </c>
      <c r="C3" t="s">
        <v>18</v>
      </c>
      <c r="D3" t="s">
        <v>3</v>
      </c>
      <c r="E3">
        <v>30000</v>
      </c>
    </row>
    <row r="4" spans="1:5" x14ac:dyDescent="0.25">
      <c r="A4" t="s">
        <v>85</v>
      </c>
      <c r="B4" t="s">
        <v>81</v>
      </c>
      <c r="C4" t="s">
        <v>34</v>
      </c>
      <c r="D4" t="s">
        <v>20</v>
      </c>
      <c r="E4">
        <f>Components!C7*8760*0.7</f>
        <v>153300</v>
      </c>
    </row>
    <row r="5" spans="1:5" x14ac:dyDescent="0.25">
      <c r="A5" t="s">
        <v>85</v>
      </c>
      <c r="B5" t="s">
        <v>92</v>
      </c>
      <c r="C5" t="s">
        <v>18</v>
      </c>
      <c r="D5" t="s">
        <v>3</v>
      </c>
      <c r="E5">
        <v>30000</v>
      </c>
    </row>
    <row r="6" spans="1:5" x14ac:dyDescent="0.25">
      <c r="A6" t="s">
        <v>86</v>
      </c>
      <c r="B6" t="s">
        <v>81</v>
      </c>
      <c r="C6" t="s">
        <v>34</v>
      </c>
      <c r="D6" t="s">
        <v>20</v>
      </c>
      <c r="E6">
        <f>Components!C7*8760*0.6</f>
        <v>131400</v>
      </c>
    </row>
    <row r="7" spans="1:5" x14ac:dyDescent="0.25">
      <c r="A7" t="s">
        <v>87</v>
      </c>
      <c r="B7" t="s">
        <v>81</v>
      </c>
      <c r="C7" t="s">
        <v>34</v>
      </c>
      <c r="D7" t="s">
        <v>20</v>
      </c>
      <c r="E7">
        <f>Components!C7*8760*0.5</f>
        <v>109500</v>
      </c>
    </row>
    <row r="8" spans="1:5" x14ac:dyDescent="0.25">
      <c r="A8" t="s">
        <v>88</v>
      </c>
      <c r="B8" t="s">
        <v>81</v>
      </c>
      <c r="C8" t="s">
        <v>34</v>
      </c>
      <c r="D8" t="s">
        <v>20</v>
      </c>
      <c r="E8">
        <f>Components!C7*8760*0.4</f>
        <v>87600</v>
      </c>
    </row>
    <row r="9" spans="1:5" x14ac:dyDescent="0.25">
      <c r="A9" t="s">
        <v>93</v>
      </c>
      <c r="B9" t="s">
        <v>81</v>
      </c>
      <c r="C9" t="s">
        <v>34</v>
      </c>
      <c r="D9" t="s">
        <v>20</v>
      </c>
      <c r="E9">
        <f>Components!C7*8760*0.3</f>
        <v>65700</v>
      </c>
    </row>
    <row r="10" spans="1:5" x14ac:dyDescent="0.25">
      <c r="A10" t="s">
        <v>94</v>
      </c>
      <c r="B10" t="s">
        <v>81</v>
      </c>
      <c r="C10" t="s">
        <v>34</v>
      </c>
      <c r="D10" t="s">
        <v>20</v>
      </c>
      <c r="E10">
        <f>Components!C7*8760*0.2</f>
        <v>43800</v>
      </c>
    </row>
    <row r="11" spans="1:5" x14ac:dyDescent="0.25">
      <c r="A11" t="s">
        <v>89</v>
      </c>
      <c r="B11" t="s">
        <v>70</v>
      </c>
      <c r="C11" t="s">
        <v>7</v>
      </c>
      <c r="D11" t="s">
        <v>3</v>
      </c>
      <c r="E11">
        <v>0</v>
      </c>
    </row>
    <row r="12" spans="1:5" x14ac:dyDescent="0.25">
      <c r="A12" t="s">
        <v>89</v>
      </c>
      <c r="B12" t="s">
        <v>70</v>
      </c>
      <c r="C12" t="s">
        <v>9</v>
      </c>
      <c r="D12" t="s">
        <v>3</v>
      </c>
      <c r="E12">
        <f>PPAs!C3*1.5</f>
        <v>450</v>
      </c>
    </row>
    <row r="13" spans="1:5" x14ac:dyDescent="0.25">
      <c r="A13" t="s">
        <v>89</v>
      </c>
      <c r="B13" t="s">
        <v>81</v>
      </c>
      <c r="C13" t="s">
        <v>34</v>
      </c>
      <c r="D13" t="s">
        <v>20</v>
      </c>
      <c r="E13">
        <f>Components!C$7*8760*0.3</f>
        <v>65700</v>
      </c>
    </row>
    <row r="14" spans="1:5" x14ac:dyDescent="0.25">
      <c r="A14" t="s">
        <v>90</v>
      </c>
      <c r="B14" t="s">
        <v>70</v>
      </c>
      <c r="C14" t="s">
        <v>7</v>
      </c>
      <c r="D14" t="s">
        <v>3</v>
      </c>
      <c r="E14">
        <f>PPAs!C2*1.5</f>
        <v>600</v>
      </c>
    </row>
    <row r="15" spans="1:5" x14ac:dyDescent="0.25">
      <c r="A15" t="s">
        <v>90</v>
      </c>
      <c r="B15" t="s">
        <v>70</v>
      </c>
      <c r="C15" t="s">
        <v>9</v>
      </c>
      <c r="D15" t="s">
        <v>3</v>
      </c>
      <c r="E15">
        <f>PPAs!C3*1.5</f>
        <v>450</v>
      </c>
    </row>
    <row r="16" spans="1:5" x14ac:dyDescent="0.25">
      <c r="A16" t="s">
        <v>90</v>
      </c>
      <c r="B16" t="s">
        <v>92</v>
      </c>
      <c r="C16" t="s">
        <v>64</v>
      </c>
      <c r="D16" t="s">
        <v>3</v>
      </c>
      <c r="E16">
        <f>E15+E14+PPAs!C4</f>
        <v>1100</v>
      </c>
    </row>
    <row r="17" spans="1:5" x14ac:dyDescent="0.25">
      <c r="A17" t="s">
        <v>90</v>
      </c>
      <c r="B17" t="s">
        <v>81</v>
      </c>
      <c r="C17" t="s">
        <v>34</v>
      </c>
      <c r="D17" t="s">
        <v>20</v>
      </c>
      <c r="E17">
        <f>Components!C$7*8760*0.3</f>
        <v>65700</v>
      </c>
    </row>
    <row r="18" spans="1:5" x14ac:dyDescent="0.25">
      <c r="A18" t="s">
        <v>95</v>
      </c>
      <c r="B18" t="s">
        <v>81</v>
      </c>
      <c r="C18" t="s">
        <v>34</v>
      </c>
      <c r="D18" t="s">
        <v>20</v>
      </c>
      <c r="E18">
        <f>Components!C$7*8760*0.3</f>
        <v>65700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580FE-4FAA-4EB4-9011-2CE5D705C8AE}">
  <dimension ref="A1:C5"/>
  <sheetViews>
    <sheetView workbookViewId="0">
      <selection activeCell="A2" sqref="A2"/>
    </sheetView>
  </sheetViews>
  <sheetFormatPr defaultRowHeight="30" customHeight="1" x14ac:dyDescent="0.25"/>
  <cols>
    <col min="1" max="2" width="15.5703125" customWidth="1"/>
  </cols>
  <sheetData>
    <row r="1" spans="1:3" ht="30" customHeight="1" x14ac:dyDescent="0.25">
      <c r="A1" s="3" t="s">
        <v>1</v>
      </c>
      <c r="B1" s="3" t="s">
        <v>31</v>
      </c>
      <c r="C1" s="1"/>
    </row>
    <row r="2" spans="1:3" ht="30" customHeight="1" x14ac:dyDescent="0.25">
      <c r="A2" s="5" t="s">
        <v>63</v>
      </c>
      <c r="B2" s="5" t="s">
        <v>30</v>
      </c>
      <c r="C2" s="2"/>
    </row>
    <row r="3" spans="1:3" ht="30" customHeight="1" x14ac:dyDescent="0.25">
      <c r="A3" s="5" t="s">
        <v>12</v>
      </c>
      <c r="B3" s="5" t="s">
        <v>29</v>
      </c>
      <c r="C3" s="2"/>
    </row>
    <row r="4" spans="1:3" ht="30" customHeight="1" x14ac:dyDescent="0.25">
      <c r="A4" s="5" t="s">
        <v>16</v>
      </c>
      <c r="B4" s="5" t="s">
        <v>29</v>
      </c>
      <c r="C4" s="2"/>
    </row>
    <row r="5" spans="1:3" ht="30" customHeight="1" x14ac:dyDescent="0.25">
      <c r="A5" s="5" t="s">
        <v>62</v>
      </c>
      <c r="B5" s="5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27C92-656E-4719-8EA9-FD34C0DD0C21}">
  <dimension ref="A1:J9"/>
  <sheetViews>
    <sheetView tabSelected="1" workbookViewId="0">
      <selection activeCell="C10" sqref="C10"/>
    </sheetView>
  </sheetViews>
  <sheetFormatPr defaultRowHeight="45" customHeight="1" x14ac:dyDescent="0.25"/>
  <cols>
    <col min="1" max="4" width="15.5703125" customWidth="1"/>
    <col min="5" max="5" width="26.5703125" customWidth="1"/>
    <col min="6" max="6" width="18.7109375" customWidth="1"/>
    <col min="7" max="8" width="15.5703125" customWidth="1"/>
    <col min="9" max="9" width="22.42578125" customWidth="1"/>
    <col min="10" max="10" width="34.42578125" customWidth="1"/>
  </cols>
  <sheetData>
    <row r="1" spans="1:10" s="4" customFormat="1" ht="45" customHeight="1" x14ac:dyDescent="0.25">
      <c r="A1" s="3" t="s">
        <v>1</v>
      </c>
      <c r="B1" s="3" t="s">
        <v>2</v>
      </c>
      <c r="C1" s="3" t="s">
        <v>3</v>
      </c>
      <c r="D1" s="3" t="s">
        <v>38</v>
      </c>
      <c r="E1" s="3" t="s">
        <v>4</v>
      </c>
      <c r="F1" s="3" t="s">
        <v>5</v>
      </c>
      <c r="G1" s="3" t="s">
        <v>105</v>
      </c>
      <c r="H1" s="3" t="s">
        <v>106</v>
      </c>
      <c r="I1" s="3" t="s">
        <v>66</v>
      </c>
      <c r="J1" s="3" t="s">
        <v>6</v>
      </c>
    </row>
    <row r="2" spans="1:10" ht="45" customHeight="1" x14ac:dyDescent="0.25">
      <c r="A2" s="5" t="s">
        <v>64</v>
      </c>
      <c r="B2" s="2" t="s">
        <v>69</v>
      </c>
      <c r="C2" s="2">
        <f>MAX(C3,SUM(PPAs!C2:C4))</f>
        <v>750</v>
      </c>
      <c r="D2" s="2" t="s">
        <v>39</v>
      </c>
      <c r="E2" s="2" t="s">
        <v>96</v>
      </c>
      <c r="F2" s="2" t="s">
        <v>100</v>
      </c>
      <c r="G2" s="6" t="s">
        <v>103</v>
      </c>
      <c r="H2" s="6" t="s">
        <v>107</v>
      </c>
      <c r="I2" s="2" t="s">
        <v>21</v>
      </c>
      <c r="J2" s="2" t="s">
        <v>65</v>
      </c>
    </row>
    <row r="3" spans="1:10" ht="45" customHeight="1" x14ac:dyDescent="0.25">
      <c r="A3" s="5" t="s">
        <v>68</v>
      </c>
      <c r="B3" s="2" t="s">
        <v>11</v>
      </c>
      <c r="C3" s="2">
        <f>(C7*1.65+53.4*C4)</f>
        <v>308.25</v>
      </c>
      <c r="D3" s="2" t="s">
        <v>39</v>
      </c>
      <c r="E3" s="2" t="s">
        <v>100</v>
      </c>
      <c r="F3" s="2" t="s">
        <v>109</v>
      </c>
      <c r="G3" s="6" t="s">
        <v>107</v>
      </c>
      <c r="H3" s="6" t="s">
        <v>104</v>
      </c>
      <c r="I3" s="2" t="s">
        <v>21</v>
      </c>
      <c r="J3" s="2" t="s">
        <v>58</v>
      </c>
    </row>
    <row r="4" spans="1:10" ht="45" customHeight="1" x14ac:dyDescent="0.25">
      <c r="A4" s="5" t="s">
        <v>0</v>
      </c>
      <c r="B4" s="2" t="s">
        <v>11</v>
      </c>
      <c r="C4" s="6">
        <v>5</v>
      </c>
      <c r="D4" s="2" t="s">
        <v>41</v>
      </c>
      <c r="E4" s="2" t="s">
        <v>97</v>
      </c>
      <c r="F4" s="2" t="s">
        <v>101</v>
      </c>
      <c r="G4" s="6" t="s">
        <v>112</v>
      </c>
      <c r="H4" s="6" t="s">
        <v>107</v>
      </c>
      <c r="I4" s="2" t="s">
        <v>21</v>
      </c>
      <c r="J4" s="2" t="s">
        <v>53</v>
      </c>
    </row>
    <row r="5" spans="1:10" ht="45" customHeight="1" x14ac:dyDescent="0.25">
      <c r="A5" s="5" t="s">
        <v>13</v>
      </c>
      <c r="B5" s="2" t="s">
        <v>28</v>
      </c>
      <c r="C5" s="2">
        <v>2</v>
      </c>
      <c r="D5" s="2" t="s">
        <v>41</v>
      </c>
      <c r="E5" s="2" t="s">
        <v>101</v>
      </c>
      <c r="F5" s="2" t="s">
        <v>110</v>
      </c>
      <c r="G5" s="6" t="s">
        <v>107</v>
      </c>
      <c r="H5" s="6" t="s">
        <v>107</v>
      </c>
      <c r="I5" s="2" t="s">
        <v>21</v>
      </c>
      <c r="J5" s="2" t="s">
        <v>54</v>
      </c>
    </row>
    <row r="6" spans="1:10" ht="45" customHeight="1" x14ac:dyDescent="0.25">
      <c r="A6" s="5" t="s">
        <v>14</v>
      </c>
      <c r="B6" s="2" t="s">
        <v>15</v>
      </c>
      <c r="C6" s="2">
        <v>15</v>
      </c>
      <c r="D6" s="2" t="s">
        <v>42</v>
      </c>
      <c r="E6" s="2" t="s">
        <v>98</v>
      </c>
      <c r="F6" s="2" t="s">
        <v>101</v>
      </c>
      <c r="G6" s="6" t="s">
        <v>108</v>
      </c>
      <c r="H6" s="6" t="s">
        <v>107</v>
      </c>
      <c r="I6" s="2" t="s">
        <v>21</v>
      </c>
      <c r="J6" s="2" t="s">
        <v>55</v>
      </c>
    </row>
    <row r="7" spans="1:10" ht="45" customHeight="1" x14ac:dyDescent="0.25">
      <c r="A7" s="5" t="s">
        <v>67</v>
      </c>
      <c r="B7" s="2" t="s">
        <v>11</v>
      </c>
      <c r="C7" s="2">
        <v>25</v>
      </c>
      <c r="D7" s="2" t="s">
        <v>43</v>
      </c>
      <c r="E7" s="2" t="s">
        <v>98</v>
      </c>
      <c r="F7" s="2" t="s">
        <v>102</v>
      </c>
      <c r="G7" s="6" t="s">
        <v>113</v>
      </c>
      <c r="H7" s="6" t="s">
        <v>107</v>
      </c>
      <c r="I7" s="2" t="s">
        <v>21</v>
      </c>
      <c r="J7" s="2" t="s">
        <v>56</v>
      </c>
    </row>
    <row r="8" spans="1:10" ht="45" customHeight="1" x14ac:dyDescent="0.25">
      <c r="A8" s="5" t="s">
        <v>17</v>
      </c>
      <c r="B8" s="2" t="s">
        <v>15</v>
      </c>
      <c r="C8" s="2">
        <f>C7*31*24</f>
        <v>18600</v>
      </c>
      <c r="D8" s="2" t="s">
        <v>44</v>
      </c>
      <c r="E8" s="2" t="s">
        <v>99</v>
      </c>
      <c r="F8" s="2" t="s">
        <v>102</v>
      </c>
      <c r="G8" s="6" t="s">
        <v>114</v>
      </c>
      <c r="H8" s="6" t="s">
        <v>107</v>
      </c>
      <c r="I8" s="2" t="s">
        <v>21</v>
      </c>
      <c r="J8" s="2" t="s">
        <v>71</v>
      </c>
    </row>
    <row r="9" spans="1:10" ht="45" customHeight="1" x14ac:dyDescent="0.25">
      <c r="A9" s="5" t="s">
        <v>18</v>
      </c>
      <c r="B9" s="2" t="s">
        <v>28</v>
      </c>
      <c r="C9" s="2">
        <v>15000</v>
      </c>
      <c r="D9" s="2" t="s">
        <v>44</v>
      </c>
      <c r="E9" s="2" t="s">
        <v>102</v>
      </c>
      <c r="F9" s="2" t="s">
        <v>111</v>
      </c>
      <c r="G9" s="6" t="s">
        <v>107</v>
      </c>
      <c r="H9" s="6" t="s">
        <v>107</v>
      </c>
      <c r="I9" s="2" t="s">
        <v>37</v>
      </c>
      <c r="J9" s="2" t="s">
        <v>57</v>
      </c>
    </row>
  </sheetData>
  <conditionalFormatting sqref="E2:F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53FE9-ECBC-4C18-ACB0-A1757BCB2761}">
  <dimension ref="A1:M5"/>
  <sheetViews>
    <sheetView topLeftCell="D1" workbookViewId="0">
      <selection activeCell="G4" sqref="G4"/>
    </sheetView>
  </sheetViews>
  <sheetFormatPr defaultRowHeight="15" x14ac:dyDescent="0.25"/>
  <cols>
    <col min="1" max="1" width="15.5703125" customWidth="1"/>
    <col min="2" max="2" width="17.85546875" customWidth="1"/>
    <col min="3" max="9" width="15.5703125" customWidth="1"/>
    <col min="10" max="10" width="21.5703125" customWidth="1"/>
    <col min="11" max="12" width="17.85546875" customWidth="1"/>
    <col min="13" max="13" width="15.5703125" customWidth="1"/>
  </cols>
  <sheetData>
    <row r="1" spans="1:13" x14ac:dyDescent="0.25">
      <c r="A1" s="7" t="s">
        <v>1</v>
      </c>
      <c r="B1" s="7" t="s">
        <v>2</v>
      </c>
      <c r="C1" s="7" t="s">
        <v>19</v>
      </c>
      <c r="D1" s="7" t="s">
        <v>60</v>
      </c>
      <c r="E1" s="7" t="s">
        <v>20</v>
      </c>
      <c r="F1" s="7" t="s">
        <v>46</v>
      </c>
      <c r="G1" s="7" t="s">
        <v>50</v>
      </c>
      <c r="H1" s="7" t="s">
        <v>51</v>
      </c>
      <c r="I1" s="7" t="s">
        <v>45</v>
      </c>
      <c r="J1" s="7" t="s">
        <v>36</v>
      </c>
      <c r="K1" s="7" t="s">
        <v>35</v>
      </c>
      <c r="L1" s="7" t="s">
        <v>61</v>
      </c>
      <c r="M1" s="7"/>
    </row>
    <row r="2" spans="1:13" ht="90" x14ac:dyDescent="0.25">
      <c r="A2" s="8" t="s">
        <v>33</v>
      </c>
      <c r="B2" s="2" t="s">
        <v>23</v>
      </c>
      <c r="C2" s="2">
        <v>5000</v>
      </c>
      <c r="D2" s="2">
        <f>4*C2</f>
        <v>20000</v>
      </c>
      <c r="E2" s="2">
        <v>0.5</v>
      </c>
      <c r="F2" s="2">
        <f>Components!C5</f>
        <v>2</v>
      </c>
      <c r="G2" s="2">
        <v>0.5</v>
      </c>
      <c r="H2" s="2">
        <v>1.3</v>
      </c>
      <c r="I2" s="2" t="s">
        <v>12</v>
      </c>
      <c r="J2" s="2" t="s">
        <v>21</v>
      </c>
      <c r="K2" s="2" t="s">
        <v>21</v>
      </c>
      <c r="L2" s="2">
        <v>0</v>
      </c>
      <c r="M2" s="2" t="s">
        <v>49</v>
      </c>
    </row>
    <row r="3" spans="1:13" ht="90" x14ac:dyDescent="0.25">
      <c r="A3" s="8" t="s">
        <v>34</v>
      </c>
      <c r="B3" s="2" t="s">
        <v>24</v>
      </c>
      <c r="C3" s="2">
        <v>900</v>
      </c>
      <c r="D3" s="2">
        <f>4*C3</f>
        <v>3600</v>
      </c>
      <c r="E3" s="2">
        <f>Components!C7*8760/2</f>
        <v>109500</v>
      </c>
      <c r="F3" s="2">
        <f>Components!C9</f>
        <v>15000</v>
      </c>
      <c r="G3" s="2">
        <v>80000</v>
      </c>
      <c r="H3" s="2">
        <v>80000</v>
      </c>
      <c r="I3" s="2" t="s">
        <v>16</v>
      </c>
      <c r="J3" s="2" t="s">
        <v>37</v>
      </c>
      <c r="K3" s="2" t="s">
        <v>22</v>
      </c>
      <c r="L3" s="2">
        <v>0</v>
      </c>
      <c r="M3" s="2" t="s">
        <v>48</v>
      </c>
    </row>
    <row r="4" spans="1:13" ht="75" x14ac:dyDescent="0.25">
      <c r="A4" s="8" t="s">
        <v>40</v>
      </c>
      <c r="B4" s="2" t="s">
        <v>24</v>
      </c>
      <c r="C4" s="2">
        <v>450</v>
      </c>
      <c r="D4" s="2">
        <v>0</v>
      </c>
      <c r="E4" s="2">
        <f>Components!C9</f>
        <v>15000</v>
      </c>
      <c r="F4" s="2">
        <f>Components!C9</f>
        <v>15000</v>
      </c>
      <c r="G4" s="2"/>
      <c r="H4" s="2"/>
      <c r="I4" s="2" t="s">
        <v>16</v>
      </c>
      <c r="J4" s="2" t="s">
        <v>37</v>
      </c>
      <c r="K4" s="2" t="s">
        <v>37</v>
      </c>
      <c r="L4" s="2">
        <v>1</v>
      </c>
      <c r="M4" s="2" t="s">
        <v>47</v>
      </c>
    </row>
    <row r="5" spans="1:13" x14ac:dyDescent="0.25">
      <c r="A5" s="2"/>
      <c r="B5" s="2"/>
      <c r="C5" s="2"/>
      <c r="D5" s="2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F0F7-3B2A-4D06-AB40-89B8755A542A}">
  <dimension ref="A1:J4"/>
  <sheetViews>
    <sheetView workbookViewId="0">
      <selection activeCell="F5" sqref="F5"/>
    </sheetView>
  </sheetViews>
  <sheetFormatPr defaultColWidth="12.7109375" defaultRowHeight="30" customHeight="1" x14ac:dyDescent="0.25"/>
  <cols>
    <col min="1" max="2" width="13.85546875" customWidth="1"/>
    <col min="5" max="5" width="13.85546875" customWidth="1"/>
    <col min="6" max="6" width="15.28515625" customWidth="1"/>
    <col min="10" max="10" width="20.42578125" customWidth="1"/>
  </cols>
  <sheetData>
    <row r="1" spans="1:10" ht="30" customHeight="1" x14ac:dyDescent="0.25">
      <c r="A1" s="7" t="s">
        <v>1</v>
      </c>
      <c r="B1" s="7" t="s">
        <v>2</v>
      </c>
      <c r="C1" s="7" t="s">
        <v>3</v>
      </c>
      <c r="D1" s="7" t="s">
        <v>38</v>
      </c>
      <c r="E1" s="7" t="s">
        <v>4</v>
      </c>
      <c r="F1" s="7" t="s">
        <v>5</v>
      </c>
      <c r="G1" s="7" t="s">
        <v>19</v>
      </c>
      <c r="H1" s="7" t="s">
        <v>32</v>
      </c>
      <c r="I1" s="7" t="s">
        <v>25</v>
      </c>
      <c r="J1" s="7" t="s">
        <v>6</v>
      </c>
    </row>
    <row r="2" spans="1:10" ht="30" customHeight="1" x14ac:dyDescent="0.25">
      <c r="A2" s="5" t="s">
        <v>7</v>
      </c>
      <c r="B2" s="2" t="s">
        <v>70</v>
      </c>
      <c r="C2" s="2">
        <v>400</v>
      </c>
      <c r="D2" s="2" t="s">
        <v>39</v>
      </c>
      <c r="E2" s="2" t="s">
        <v>8</v>
      </c>
      <c r="F2" s="2" t="s">
        <v>62</v>
      </c>
      <c r="G2" s="2">
        <v>55.2</v>
      </c>
      <c r="H2" s="2">
        <v>0.18</v>
      </c>
      <c r="I2" s="2">
        <v>1</v>
      </c>
      <c r="J2" s="2" t="s">
        <v>52</v>
      </c>
    </row>
    <row r="3" spans="1:10" ht="30" customHeight="1" x14ac:dyDescent="0.25">
      <c r="A3" s="5" t="s">
        <v>9</v>
      </c>
      <c r="B3" s="2" t="s">
        <v>70</v>
      </c>
      <c r="C3" s="2">
        <v>300</v>
      </c>
      <c r="D3" s="2" t="s">
        <v>39</v>
      </c>
      <c r="E3" s="2" t="s">
        <v>10</v>
      </c>
      <c r="F3" s="2" t="s">
        <v>62</v>
      </c>
      <c r="G3" s="2">
        <v>66.2</v>
      </c>
      <c r="H3" s="2">
        <v>0.38</v>
      </c>
      <c r="I3" s="2">
        <v>1</v>
      </c>
      <c r="J3" s="2" t="s">
        <v>91</v>
      </c>
    </row>
    <row r="4" spans="1:10" ht="30" customHeight="1" x14ac:dyDescent="0.25">
      <c r="A4" s="5" t="s">
        <v>26</v>
      </c>
      <c r="B4" s="2" t="s">
        <v>70</v>
      </c>
      <c r="C4" s="2">
        <v>50</v>
      </c>
      <c r="D4" s="2" t="s">
        <v>39</v>
      </c>
      <c r="E4" s="2" t="s">
        <v>27</v>
      </c>
      <c r="F4" s="2" t="s">
        <v>62</v>
      </c>
      <c r="G4" s="2">
        <v>77.400000000000006</v>
      </c>
      <c r="H4" s="2">
        <v>1</v>
      </c>
      <c r="I4" s="2">
        <v>0</v>
      </c>
      <c r="J4" s="2" t="s">
        <v>59</v>
      </c>
    </row>
  </sheetData>
  <conditionalFormatting sqref="E2:F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8DFE2-21C8-4CC0-B4F1-F354F2538655}">
  <dimension ref="A1:C10"/>
  <sheetViews>
    <sheetView workbookViewId="0">
      <selection activeCell="D13" sqref="D13"/>
    </sheetView>
  </sheetViews>
  <sheetFormatPr defaultRowHeight="15" x14ac:dyDescent="0.25"/>
  <cols>
    <col min="1" max="1" width="15.7109375" customWidth="1"/>
    <col min="2" max="2" width="16.42578125" customWidth="1"/>
    <col min="3" max="3" width="12.85546875" customWidth="1"/>
  </cols>
  <sheetData>
    <row r="1" spans="1:3" x14ac:dyDescent="0.25">
      <c r="A1" s="11" t="s">
        <v>73</v>
      </c>
      <c r="B1" t="s">
        <v>74</v>
      </c>
      <c r="C1" t="s">
        <v>76</v>
      </c>
    </row>
    <row r="2" spans="1:3" x14ac:dyDescent="0.25">
      <c r="A2" t="str">
        <f>PPAs!A2</f>
        <v>SolarPower</v>
      </c>
      <c r="B2" s="10">
        <f>PPAs!C2*PPAs!H2*8760/1000</f>
        <v>630.72</v>
      </c>
      <c r="C2" s="9">
        <f>B2*PPAs!G2/1000</f>
        <v>34.815744000000009</v>
      </c>
    </row>
    <row r="3" spans="1:3" x14ac:dyDescent="0.25">
      <c r="A3" t="str">
        <f>PPAs!A3</f>
        <v>WindPower</v>
      </c>
      <c r="B3" s="10">
        <f>PPAs!C3*PPAs!H3*8760/1000</f>
        <v>998.64</v>
      </c>
      <c r="C3" s="9">
        <f>B3*PPAs!G3/1000</f>
        <v>66.109968000000009</v>
      </c>
    </row>
    <row r="4" spans="1:3" x14ac:dyDescent="0.25">
      <c r="A4" t="str">
        <f>PPAs!A4</f>
        <v>NuclearPower</v>
      </c>
      <c r="B4" s="10">
        <f>PPAs!C4*PPAs!H4*8760/1000</f>
        <v>438</v>
      </c>
      <c r="C4" s="9">
        <f>B4*PPAs!G4/1000</f>
        <v>33.901200000000003</v>
      </c>
    </row>
    <row r="5" spans="1:3" x14ac:dyDescent="0.25">
      <c r="A5" s="11" t="s">
        <v>72</v>
      </c>
      <c r="B5" s="12">
        <f>SUM(B2:B4)</f>
        <v>2067.36</v>
      </c>
      <c r="C5" s="13">
        <f>SUM(C2:C4)</f>
        <v>134.82691200000002</v>
      </c>
    </row>
    <row r="7" spans="1:3" x14ac:dyDescent="0.25">
      <c r="A7" s="11" t="s">
        <v>75</v>
      </c>
      <c r="B7" t="s">
        <v>74</v>
      </c>
      <c r="C7" t="s">
        <v>77</v>
      </c>
    </row>
    <row r="8" spans="1:3" x14ac:dyDescent="0.25">
      <c r="A8" t="str">
        <f>Contracts!A2</f>
        <v>Hydrogen1</v>
      </c>
      <c r="B8" s="10" t="e">
        <f>Contracts!E2*Components!#REF!/Components!#REF!*8760/1000</f>
        <v>#REF!</v>
      </c>
      <c r="C8">
        <f>Contracts!E2*Contracts!C2*8760/1000000</f>
        <v>21.9</v>
      </c>
    </row>
    <row r="9" spans="1:3" x14ac:dyDescent="0.25">
      <c r="A9" t="str">
        <f>Contracts!A3</f>
        <v>Ammonia1</v>
      </c>
      <c r="B9" s="10" t="e">
        <f>Contracts!E3*(Components!#REF!+Components!#REF!/Components!#REF!)/Components!#REF!/1000</f>
        <v>#REF!</v>
      </c>
      <c r="C9">
        <f>Contracts!E3*Contracts!C3/1000000</f>
        <v>98.55</v>
      </c>
    </row>
    <row r="10" spans="1:3" x14ac:dyDescent="0.25">
      <c r="A10" s="11" t="s">
        <v>72</v>
      </c>
      <c r="B10" s="12" t="e">
        <f>SUM(B8:B9)</f>
        <v>#REF!</v>
      </c>
      <c r="C10" s="12">
        <f>SUM(C8:C9)</f>
        <v>120.44999999999999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Scenarios</vt:lpstr>
      <vt:lpstr>Carriers</vt:lpstr>
      <vt:lpstr>Components</vt:lpstr>
      <vt:lpstr>Contracts</vt:lpstr>
      <vt:lpstr>PPAs</vt:lpstr>
      <vt:lpstr>Annual Contract Summaries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Skou Fertin</dc:creator>
  <cp:lastModifiedBy>Frederik Skou Fertin</cp:lastModifiedBy>
  <dcterms:created xsi:type="dcterms:W3CDTF">2025-09-04T07:41:58Z</dcterms:created>
  <dcterms:modified xsi:type="dcterms:W3CDTF">2026-03-06T11:17:49Z</dcterms:modified>
</cp:coreProperties>
</file>