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setup_files/"/>
    </mc:Choice>
  </mc:AlternateContent>
  <xr:revisionPtr revIDLastSave="485" documentId="11_AD4D1D646341095ACB7000532597FE6E683EDF1A" xr6:coauthVersionLast="47" xr6:coauthVersionMax="47" xr10:uidLastSave="{A1A0D505-0D99-48FF-9B10-C85553A2A822}"/>
  <bookViews>
    <workbookView xWindow="28680" yWindow="-210" windowWidth="29040" windowHeight="15720" xr2:uid="{00000000-000D-0000-FFFF-FFFF00000000}"/>
  </bookViews>
  <sheets>
    <sheet name="Haber-Bosch" sheetId="1" r:id="rId1"/>
    <sheet name="Piecewise" sheetId="3" r:id="rId2"/>
    <sheet name="Electrolyzer" sheetId="4" r:id="rId3"/>
    <sheet name="H2 Storag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B3" i="3"/>
  <c r="A4" i="3"/>
  <c r="B4" i="3"/>
  <c r="A5" i="3"/>
  <c r="B5" i="3"/>
  <c r="A6" i="3"/>
  <c r="B6" i="3"/>
  <c r="A7" i="3"/>
  <c r="B7" i="3"/>
  <c r="A8" i="3"/>
  <c r="B8" i="3"/>
  <c r="A9" i="3"/>
  <c r="B9" i="3"/>
  <c r="B2" i="3"/>
  <c r="A2" i="3"/>
  <c r="B24" i="5"/>
  <c r="B30" i="5"/>
  <c r="C29" i="4" l="1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D28" i="4"/>
  <c r="E28" i="4"/>
  <c r="F28" i="4"/>
  <c r="G28" i="4"/>
  <c r="C28" i="4"/>
  <c r="K22" i="4"/>
  <c r="K16" i="4"/>
  <c r="J5" i="4"/>
  <c r="B7" i="4"/>
  <c r="C7" i="4" s="1"/>
  <c r="B8" i="4"/>
  <c r="F8" i="4" s="1"/>
  <c r="B9" i="4"/>
  <c r="F9" i="4" s="1"/>
  <c r="B10" i="4"/>
  <c r="D10" i="4" s="1"/>
  <c r="B11" i="4"/>
  <c r="G11" i="4" s="1"/>
  <c r="B12" i="4"/>
  <c r="C12" i="4" s="1"/>
  <c r="B13" i="4"/>
  <c r="E13" i="4" s="1"/>
  <c r="B14" i="4"/>
  <c r="D14" i="4" s="1"/>
  <c r="B15" i="4"/>
  <c r="C15" i="4" s="1"/>
  <c r="B6" i="4"/>
  <c r="G6" i="4" s="1"/>
  <c r="H21" i="1"/>
  <c r="G21" i="1"/>
  <c r="G15" i="1"/>
  <c r="G16" i="1"/>
  <c r="G17" i="1"/>
  <c r="G18" i="1"/>
  <c r="H18" i="1" s="1"/>
  <c r="G19" i="1"/>
  <c r="H19" i="1" s="1"/>
  <c r="G20" i="1"/>
  <c r="H20" i="1" s="1"/>
  <c r="H16" i="1"/>
  <c r="G14" i="1"/>
  <c r="H14" i="1" s="1"/>
  <c r="A15" i="1"/>
  <c r="A16" i="1"/>
  <c r="A17" i="1"/>
  <c r="A18" i="1"/>
  <c r="A19" i="1"/>
  <c r="A20" i="1"/>
  <c r="A21" i="1"/>
  <c r="A22" i="1"/>
  <c r="A14" i="1"/>
  <c r="H17" i="1"/>
  <c r="H15" i="1"/>
  <c r="F15" i="1"/>
  <c r="F16" i="1"/>
  <c r="F17" i="1"/>
  <c r="F18" i="1"/>
  <c r="F19" i="1"/>
  <c r="F20" i="1"/>
  <c r="F21" i="1"/>
  <c r="F22" i="1"/>
  <c r="F14" i="1"/>
  <c r="E22" i="1"/>
  <c r="E21" i="1"/>
  <c r="E20" i="1"/>
  <c r="E19" i="1"/>
  <c r="E18" i="1"/>
  <c r="E17" i="1"/>
  <c r="E16" i="1"/>
  <c r="E15" i="1"/>
  <c r="E14" i="1"/>
  <c r="D15" i="1"/>
  <c r="D17" i="1"/>
  <c r="D14" i="1"/>
  <c r="D16" i="1"/>
  <c r="D18" i="1"/>
  <c r="D19" i="1"/>
  <c r="D20" i="1"/>
  <c r="D21" i="1"/>
  <c r="D22" i="1"/>
  <c r="C12" i="1"/>
  <c r="O39" i="1"/>
  <c r="P37" i="1" s="1"/>
  <c r="P35" i="1"/>
  <c r="M35" i="1"/>
  <c r="M39" i="1"/>
  <c r="N31" i="1"/>
  <c r="N30" i="1"/>
  <c r="N19" i="1"/>
  <c r="G13" i="4" l="1"/>
  <c r="F11" i="4"/>
  <c r="F22" i="4" s="1"/>
  <c r="F6" i="4"/>
  <c r="F17" i="4" s="1"/>
  <c r="G12" i="4"/>
  <c r="G23" i="4" s="1"/>
  <c r="F12" i="4"/>
  <c r="F23" i="4" s="1"/>
  <c r="G14" i="4"/>
  <c r="G25" i="4" s="1"/>
  <c r="E11" i="4"/>
  <c r="E22" i="4" s="1"/>
  <c r="F14" i="4"/>
  <c r="F25" i="4" s="1"/>
  <c r="D11" i="4"/>
  <c r="D22" i="4" s="1"/>
  <c r="E14" i="4"/>
  <c r="E25" i="4" s="1"/>
  <c r="C11" i="4"/>
  <c r="C22" i="4" s="1"/>
  <c r="D13" i="4"/>
  <c r="D24" i="4" s="1"/>
  <c r="C10" i="4"/>
  <c r="C21" i="4" s="1"/>
  <c r="C13" i="4"/>
  <c r="C24" i="4" s="1"/>
  <c r="E8" i="4"/>
  <c r="E19" i="4" s="1"/>
  <c r="C8" i="4"/>
  <c r="C19" i="4" s="1"/>
  <c r="D8" i="4"/>
  <c r="D19" i="4" s="1"/>
  <c r="G15" i="4"/>
  <c r="G26" i="4" s="1"/>
  <c r="G7" i="4"/>
  <c r="G18" i="4" s="1"/>
  <c r="F15" i="4"/>
  <c r="F26" i="4" s="1"/>
  <c r="C14" i="4"/>
  <c r="C25" i="4" s="1"/>
  <c r="E12" i="4"/>
  <c r="E23" i="4" s="1"/>
  <c r="G10" i="4"/>
  <c r="G21" i="4" s="1"/>
  <c r="D9" i="4"/>
  <c r="D20" i="4" s="1"/>
  <c r="F7" i="4"/>
  <c r="F18" i="4" s="1"/>
  <c r="E6" i="4"/>
  <c r="E17" i="4" s="1"/>
  <c r="G9" i="4"/>
  <c r="G20" i="4" s="1"/>
  <c r="E9" i="4"/>
  <c r="E20" i="4" s="1"/>
  <c r="E15" i="4"/>
  <c r="E26" i="4" s="1"/>
  <c r="G24" i="4"/>
  <c r="D12" i="4"/>
  <c r="D23" i="4" s="1"/>
  <c r="F10" i="4"/>
  <c r="F21" i="4" s="1"/>
  <c r="C9" i="4"/>
  <c r="C20" i="4" s="1"/>
  <c r="E7" i="4"/>
  <c r="C6" i="4"/>
  <c r="C17" i="4" s="1"/>
  <c r="D15" i="4"/>
  <c r="D26" i="4" s="1"/>
  <c r="F13" i="4"/>
  <c r="F24" i="4" s="1"/>
  <c r="E10" i="4"/>
  <c r="E21" i="4" s="1"/>
  <c r="G8" i="4"/>
  <c r="G19" i="4" s="1"/>
  <c r="D7" i="4"/>
  <c r="D18" i="4" s="1"/>
  <c r="D6" i="4"/>
  <c r="D17" i="4" s="1"/>
  <c r="E24" i="4"/>
  <c r="D21" i="4"/>
  <c r="F19" i="4"/>
  <c r="C18" i="4"/>
  <c r="F20" i="4"/>
  <c r="D25" i="4"/>
  <c r="C26" i="4"/>
  <c r="C23" i="4"/>
  <c r="E18" i="4"/>
  <c r="G22" i="4"/>
  <c r="G17" i="4"/>
  <c r="Q12" i="1" l="1"/>
  <c r="Q13" i="1"/>
  <c r="Q15" i="1"/>
  <c r="N18" i="1"/>
</calcChain>
</file>

<file path=xl/sharedStrings.xml><?xml version="1.0" encoding="utf-8"?>
<sst xmlns="http://schemas.openxmlformats.org/spreadsheetml/2006/main" count="95" uniqueCount="65">
  <si>
    <t>H2</t>
  </si>
  <si>
    <t>N2</t>
  </si>
  <si>
    <t>Power</t>
  </si>
  <si>
    <t>kg/s</t>
  </si>
  <si>
    <t>kW</t>
  </si>
  <si>
    <t>NH3</t>
  </si>
  <si>
    <t>Rate</t>
  </si>
  <si>
    <t>kgNH3/kgH2</t>
  </si>
  <si>
    <t>Type</t>
  </si>
  <si>
    <t>Value</t>
  </si>
  <si>
    <t>Unit</t>
  </si>
  <si>
    <t>Molar Mass</t>
  </si>
  <si>
    <t>Value_2</t>
  </si>
  <si>
    <t>Unit_2</t>
  </si>
  <si>
    <t>kmol/s</t>
  </si>
  <si>
    <t>elec_cons</t>
  </si>
  <si>
    <t>Full load specifications - Haber Bosch</t>
  </si>
  <si>
    <t>Full load specifications - ASU</t>
  </si>
  <si>
    <t>Air</t>
  </si>
  <si>
    <t>O2</t>
  </si>
  <si>
    <t>Ar</t>
  </si>
  <si>
    <t>kgN2/kgAir</t>
  </si>
  <si>
    <t>kWh/kgN2</t>
  </si>
  <si>
    <t>kWh/kgNH3</t>
  </si>
  <si>
    <t>MWh/tNH3</t>
  </si>
  <si>
    <t>MWh/tH2</t>
  </si>
  <si>
    <t>tNH3/tH2</t>
  </si>
  <si>
    <t>cm</t>
  </si>
  <si>
    <t>GJ/cm</t>
  </si>
  <si>
    <t>GJ</t>
  </si>
  <si>
    <t>GJ/t</t>
  </si>
  <si>
    <t>MWh/t</t>
  </si>
  <si>
    <t>LF</t>
  </si>
  <si>
    <t>MWh</t>
  </si>
  <si>
    <t>a</t>
  </si>
  <si>
    <t>b</t>
  </si>
  <si>
    <t>intercept</t>
  </si>
  <si>
    <t>slope</t>
  </si>
  <si>
    <t>Graph deciphering</t>
  </si>
  <si>
    <t>voided</t>
  </si>
  <si>
    <t>p_val</t>
  </si>
  <si>
    <t>p</t>
  </si>
  <si>
    <t>C</t>
  </si>
  <si>
    <t>MW</t>
  </si>
  <si>
    <t>kg/h</t>
  </si>
  <si>
    <t>MJ</t>
  </si>
  <si>
    <t>Outflow (kg/h)</t>
  </si>
  <si>
    <t>Efficiency (MWh/t)</t>
  </si>
  <si>
    <t>Source:</t>
  </si>
  <si>
    <t>Heat integration and part-load performance of an SOEC-coupled Haber–Bosch process</t>
  </si>
  <si>
    <t>DOI:</t>
  </si>
  <si>
    <t>https://doi.org/10.1016/j.ijhydene.2025.02.335</t>
  </si>
  <si>
    <t>Optimal day-ahead dispatch of an alkaline electrolyser system concerning thermal–electric properties and state-transitional dynamics</t>
  </si>
  <si>
    <t>efficiency formula</t>
  </si>
  <si>
    <t>R</t>
  </si>
  <si>
    <t>T</t>
  </si>
  <si>
    <t>gamma</t>
  </si>
  <si>
    <t>eta_c</t>
  </si>
  <si>
    <t>P_out</t>
  </si>
  <si>
    <t>P_in</t>
  </si>
  <si>
    <t>Efficiency</t>
  </si>
  <si>
    <t>K</t>
  </si>
  <si>
    <t>bar</t>
  </si>
  <si>
    <t>J/(mol K)</t>
  </si>
  <si>
    <t>*Voided due to non-concavity - see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</si>
</sst>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Georgia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  <xf numFmtId="0" fontId="0" fillId="0" borderId="1" xfId="0" applyBorder="1"/>
    <xf numFmtId="0" fontId="3" fillId="0" borderId="4" xfId="0" applyFont="1" applyBorder="1"/>
    <xf numFmtId="0" fontId="3" fillId="0" borderId="5" xfId="0" applyFont="1" applyBorder="1"/>
    <xf numFmtId="164" fontId="0" fillId="0" borderId="0" xfId="1" applyNumberFormat="1" applyFont="1"/>
    <xf numFmtId="164" fontId="0" fillId="0" borderId="9" xfId="1" applyNumberFormat="1" applyFont="1" applyBorder="1"/>
    <xf numFmtId="0" fontId="0" fillId="0" borderId="9" xfId="0" applyBorder="1"/>
    <xf numFmtId="0" fontId="5" fillId="0" borderId="0" xfId="0" applyFont="1" applyAlignment="1">
      <alignment vertical="center"/>
    </xf>
    <xf numFmtId="0" fontId="6" fillId="0" borderId="0" xfId="2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'Haber-Bosch'!$E$13</c:f>
              <c:strCache>
                <c:ptCount val="1"/>
                <c:pt idx="0">
                  <c:v>MWh/t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'Haber-Bosch'!$B$14:$B$22</c:f>
              <c:numCache>
                <c:formatCode>General</c:formatCode>
                <c:ptCount val="9"/>
                <c:pt idx="0">
                  <c:v>10.7</c:v>
                </c:pt>
                <c:pt idx="1">
                  <c:v>15</c:v>
                </c:pt>
                <c:pt idx="2">
                  <c:v>20</c:v>
                </c:pt>
                <c:pt idx="3">
                  <c:v>24.7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65</c:v>
                </c:pt>
                <c:pt idx="8">
                  <c:v>100</c:v>
                </c:pt>
              </c:numCache>
            </c:numRef>
          </c:xVal>
          <c:yVal>
            <c:numRef>
              <c:f>'Haber-Bosch'!$E$14:$E$22</c:f>
              <c:numCache>
                <c:formatCode>0.00</c:formatCode>
                <c:ptCount val="9"/>
                <c:pt idx="0">
                  <c:v>4.0277777777777777</c:v>
                </c:pt>
                <c:pt idx="1">
                  <c:v>2.9861111111111112</c:v>
                </c:pt>
                <c:pt idx="2">
                  <c:v>2.2916666666666665</c:v>
                </c:pt>
                <c:pt idx="3">
                  <c:v>1.875</c:v>
                </c:pt>
                <c:pt idx="4">
                  <c:v>1.6388888888888888</c:v>
                </c:pt>
                <c:pt idx="5">
                  <c:v>1.3888888888888888</c:v>
                </c:pt>
                <c:pt idx="6">
                  <c:v>1.2916666666666667</c:v>
                </c:pt>
                <c:pt idx="7">
                  <c:v>1.1805555555555556</c:v>
                </c:pt>
                <c:pt idx="8">
                  <c:v>1.1388888888888888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A7-48D5-9F1D-CB47FE916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496367"/>
        <c:axId val="1240496847"/>
      </c:scatterChart>
      <c:valAx>
        <c:axId val="124049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496847"/>
        <c:crosses val="autoZero"/>
        <c:crossBetween val="midCat"/>
      </c:valAx>
      <c:valAx>
        <c:axId val="124049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49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'Haber-Bosch'!$F$13</c:f>
              <c:strCache>
                <c:ptCount val="1"/>
                <c:pt idx="0">
                  <c:v>MWh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'Haber-Bosch'!$B$14:$B$22</c:f>
              <c:numCache>
                <c:formatCode>General</c:formatCode>
                <c:ptCount val="9"/>
                <c:pt idx="0">
                  <c:v>10.7</c:v>
                </c:pt>
                <c:pt idx="1">
                  <c:v>15</c:v>
                </c:pt>
                <c:pt idx="2">
                  <c:v>20</c:v>
                </c:pt>
                <c:pt idx="3">
                  <c:v>24.7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65</c:v>
                </c:pt>
                <c:pt idx="8">
                  <c:v>100</c:v>
                </c:pt>
              </c:numCache>
            </c:numRef>
          </c:xVal>
          <c:yVal>
            <c:numRef>
              <c:f>'Haber-Bosch'!$F$14:$F$22</c:f>
              <c:numCache>
                <c:formatCode>General</c:formatCode>
                <c:ptCount val="9"/>
                <c:pt idx="0">
                  <c:v>0.4309722222222222</c:v>
                </c:pt>
                <c:pt idx="1">
                  <c:v>0.44791666666666663</c:v>
                </c:pt>
                <c:pt idx="2">
                  <c:v>0.45833333333333326</c:v>
                </c:pt>
                <c:pt idx="3">
                  <c:v>0.46312500000000001</c:v>
                </c:pt>
                <c:pt idx="4">
                  <c:v>0.49166666666666664</c:v>
                </c:pt>
                <c:pt idx="5">
                  <c:v>0.55555555555555558</c:v>
                </c:pt>
                <c:pt idx="6">
                  <c:v>0.64583333333333348</c:v>
                </c:pt>
                <c:pt idx="7">
                  <c:v>0.76736111111111116</c:v>
                </c:pt>
                <c:pt idx="8">
                  <c:v>1.1388888888888888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C-4074-9C0D-D5C41EA77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198335"/>
        <c:axId val="1428198815"/>
      </c:scatterChart>
      <c:valAx>
        <c:axId val="142819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98815"/>
        <c:crosses val="autoZero"/>
        <c:crossBetween val="midCat"/>
      </c:valAx>
      <c:valAx>
        <c:axId val="142819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9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15</xdr:row>
      <xdr:rowOff>4762</xdr:rowOff>
    </xdr:from>
    <xdr:to>
      <xdr:col>23</xdr:col>
      <xdr:colOff>581025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00300-9159-5CB6-12AB-AEE52455B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0</xdr:row>
      <xdr:rowOff>4762</xdr:rowOff>
    </xdr:from>
    <xdr:to>
      <xdr:col>25</xdr:col>
      <xdr:colOff>304800</xdr:colOff>
      <xdr:row>14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7ACD6D-E8F0-E6EC-3DFB-7E972893B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10</xdr:col>
      <xdr:colOff>410313</xdr:colOff>
      <xdr:row>20</xdr:row>
      <xdr:rowOff>124268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6B898-B502-774B-ECCB-E34310B98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5287113" cy="3172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i.org/10.1016/j.ijhydene.2025.02.33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i.org/10.1016/j.ijhydene.2025.02.3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K19" sqref="K19"/>
    </sheetView>
  </sheetViews>
  <sheetFormatPr defaultRowHeight="15" x14ac:dyDescent="0.25"/>
  <cols>
    <col min="7" max="7" width="11.7109375" customWidth="1"/>
    <col min="14" max="14" width="11.5703125" bestFit="1" customWidth="1"/>
    <col min="15" max="16" width="11" customWidth="1"/>
  </cols>
  <sheetData>
    <row r="1" spans="1:18" x14ac:dyDescent="0.25">
      <c r="A1" t="s">
        <v>48</v>
      </c>
      <c r="B1" s="18" t="s">
        <v>49</v>
      </c>
    </row>
    <row r="2" spans="1:18" x14ac:dyDescent="0.25">
      <c r="A2" t="s">
        <v>50</v>
      </c>
      <c r="B2" s="19" t="s">
        <v>51</v>
      </c>
    </row>
    <row r="9" spans="1:18" x14ac:dyDescent="0.25">
      <c r="B9" s="3" t="s">
        <v>38</v>
      </c>
      <c r="C9" s="4"/>
      <c r="D9" s="4"/>
      <c r="E9" s="4"/>
      <c r="F9" s="5"/>
    </row>
    <row r="10" spans="1:18" ht="18.75" x14ac:dyDescent="0.3">
      <c r="B10" s="6" t="s">
        <v>29</v>
      </c>
      <c r="C10">
        <v>10</v>
      </c>
      <c r="F10" s="7"/>
      <c r="M10" s="20" t="s">
        <v>16</v>
      </c>
      <c r="N10" s="20"/>
      <c r="O10" s="20"/>
      <c r="P10" s="20"/>
      <c r="Q10" s="20"/>
      <c r="R10" s="20"/>
    </row>
    <row r="11" spans="1:18" x14ac:dyDescent="0.25">
      <c r="B11" s="6" t="s">
        <v>27</v>
      </c>
      <c r="C11">
        <v>20</v>
      </c>
      <c r="F11" s="7"/>
      <c r="M11" t="s">
        <v>8</v>
      </c>
      <c r="N11" t="s">
        <v>9</v>
      </c>
      <c r="O11" t="s">
        <v>10</v>
      </c>
      <c r="P11" t="s">
        <v>11</v>
      </c>
      <c r="Q11" t="s">
        <v>12</v>
      </c>
      <c r="R11" t="s">
        <v>13</v>
      </c>
    </row>
    <row r="12" spans="1:18" x14ac:dyDescent="0.25">
      <c r="B12" s="6" t="s">
        <v>28</v>
      </c>
      <c r="C12">
        <f>C10/C11</f>
        <v>0.5</v>
      </c>
      <c r="F12" s="7"/>
      <c r="M12" t="s">
        <v>0</v>
      </c>
      <c r="N12" s="1">
        <v>2.7869999999999999</v>
      </c>
      <c r="O12" t="s">
        <v>3</v>
      </c>
      <c r="P12" s="1">
        <v>1.0079469999999999</v>
      </c>
      <c r="Q12" s="1">
        <f>N12/(3*P12)*1.5</f>
        <v>1.3825131678550557</v>
      </c>
      <c r="R12" t="s">
        <v>14</v>
      </c>
    </row>
    <row r="13" spans="1:18" x14ac:dyDescent="0.25">
      <c r="A13" t="s">
        <v>32</v>
      </c>
      <c r="B13" s="6" t="s">
        <v>32</v>
      </c>
      <c r="C13" t="s">
        <v>27</v>
      </c>
      <c r="D13" t="s">
        <v>30</v>
      </c>
      <c r="E13" t="s">
        <v>31</v>
      </c>
      <c r="F13" s="7" t="s">
        <v>33</v>
      </c>
      <c r="G13" s="12" t="s">
        <v>37</v>
      </c>
      <c r="H13" s="5" t="s">
        <v>36</v>
      </c>
      <c r="M13" t="s">
        <v>1</v>
      </c>
      <c r="N13" s="1">
        <v>12.91</v>
      </c>
      <c r="O13" t="s">
        <v>3</v>
      </c>
      <c r="P13" s="1">
        <v>14.006747000000001</v>
      </c>
      <c r="Q13" s="1">
        <f>N13/P13/2</f>
        <v>0.46084933211116041</v>
      </c>
      <c r="R13" t="s">
        <v>14</v>
      </c>
    </row>
    <row r="14" spans="1:18" x14ac:dyDescent="0.25">
      <c r="A14">
        <f>B14/100</f>
        <v>0.107</v>
      </c>
      <c r="B14" s="6">
        <v>10.7</v>
      </c>
      <c r="C14">
        <v>29</v>
      </c>
      <c r="D14">
        <f t="shared" ref="D14:D15" si="0">C14*$C$12</f>
        <v>14.5</v>
      </c>
      <c r="E14" s="1">
        <f t="shared" ref="E14:E22" si="1">D14/3.6</f>
        <v>4.0277777777777777</v>
      </c>
      <c r="F14" s="7">
        <f>E14*B14/100</f>
        <v>0.4309722222222222</v>
      </c>
      <c r="G14" s="6">
        <f>(F17-F14)/(A17-A14)</f>
        <v>0.2296626984126986</v>
      </c>
      <c r="H14" s="7">
        <f t="shared" ref="H14:H20" si="2">F14-G14*B14/100</f>
        <v>0.40639831349206346</v>
      </c>
      <c r="I14">
        <v>1</v>
      </c>
      <c r="M14" t="s">
        <v>2</v>
      </c>
      <c r="N14" s="1">
        <v>47485</v>
      </c>
      <c r="O14" t="s">
        <v>4</v>
      </c>
      <c r="P14" s="1"/>
      <c r="Q14" s="1"/>
    </row>
    <row r="15" spans="1:18" x14ac:dyDescent="0.25">
      <c r="A15">
        <f t="shared" ref="A15:A22" si="3">B15/100</f>
        <v>0.15</v>
      </c>
      <c r="B15" s="6">
        <v>15</v>
      </c>
      <c r="C15">
        <v>21.5</v>
      </c>
      <c r="D15">
        <f t="shared" si="0"/>
        <v>10.75</v>
      </c>
      <c r="E15" s="1">
        <f t="shared" si="1"/>
        <v>2.9861111111111112</v>
      </c>
      <c r="F15" s="7">
        <f t="shared" ref="F15:F22" si="4">E15*B15/100</f>
        <v>0.44791666666666663</v>
      </c>
      <c r="G15" s="13">
        <f>(F16-F15)/(B16-B15)*100</f>
        <v>0.20833333333333259</v>
      </c>
      <c r="H15" s="14">
        <f t="shared" si="2"/>
        <v>0.41666666666666674</v>
      </c>
      <c r="I15" t="s">
        <v>39</v>
      </c>
      <c r="M15" t="s">
        <v>5</v>
      </c>
      <c r="N15" s="1">
        <v>15.696999999999999</v>
      </c>
      <c r="O15" t="s">
        <v>3</v>
      </c>
      <c r="P15" s="1">
        <v>17.030519999999999</v>
      </c>
      <c r="Q15" s="1">
        <f>N15/P15</f>
        <v>0.92169822178066196</v>
      </c>
      <c r="R15" t="s">
        <v>14</v>
      </c>
    </row>
    <row r="16" spans="1:18" x14ac:dyDescent="0.25">
      <c r="A16">
        <f t="shared" si="3"/>
        <v>0.2</v>
      </c>
      <c r="B16" s="6">
        <v>20</v>
      </c>
      <c r="C16">
        <v>16.5</v>
      </c>
      <c r="D16">
        <f t="shared" ref="D16:D22" si="5">C16*$C$12</f>
        <v>8.25</v>
      </c>
      <c r="E16" s="1">
        <f t="shared" si="1"/>
        <v>2.2916666666666665</v>
      </c>
      <c r="F16" s="7">
        <f t="shared" si="4"/>
        <v>0.45833333333333326</v>
      </c>
      <c r="G16" s="13">
        <f>(F17-F16)/(B17-B16)*100</f>
        <v>0.10195035460993085</v>
      </c>
      <c r="H16" s="14">
        <f t="shared" si="2"/>
        <v>0.43794326241134707</v>
      </c>
      <c r="I16" t="s">
        <v>39</v>
      </c>
      <c r="N16" s="1"/>
    </row>
    <row r="17" spans="1:18" x14ac:dyDescent="0.25">
      <c r="A17">
        <f t="shared" si="3"/>
        <v>0.247</v>
      </c>
      <c r="B17" s="6">
        <v>24.7</v>
      </c>
      <c r="C17">
        <v>13.5</v>
      </c>
      <c r="D17">
        <f t="shared" si="5"/>
        <v>6.75</v>
      </c>
      <c r="E17" s="1">
        <f t="shared" si="1"/>
        <v>1.875</v>
      </c>
      <c r="F17" s="7">
        <f t="shared" si="4"/>
        <v>0.46312500000000001</v>
      </c>
      <c r="G17" s="6">
        <f>(F18-F17)/(B18-B17)*100</f>
        <v>0.53852201257861565</v>
      </c>
      <c r="H17" s="7">
        <f t="shared" si="2"/>
        <v>0.33011006289308198</v>
      </c>
      <c r="I17">
        <v>1</v>
      </c>
      <c r="N17" s="1"/>
    </row>
    <row r="18" spans="1:18" x14ac:dyDescent="0.25">
      <c r="A18">
        <f t="shared" si="3"/>
        <v>0.3</v>
      </c>
      <c r="B18" s="6">
        <v>30</v>
      </c>
      <c r="C18">
        <v>11.8</v>
      </c>
      <c r="D18">
        <f t="shared" si="5"/>
        <v>5.9</v>
      </c>
      <c r="E18" s="1">
        <f t="shared" si="1"/>
        <v>1.6388888888888888</v>
      </c>
      <c r="F18" s="7">
        <f t="shared" si="4"/>
        <v>0.49166666666666664</v>
      </c>
      <c r="G18" s="6">
        <f>(F20-F18)/(B20-B18)*100</f>
        <v>0.77083333333333426</v>
      </c>
      <c r="H18" s="7">
        <f t="shared" si="2"/>
        <v>0.26041666666666635</v>
      </c>
      <c r="I18">
        <v>1</v>
      </c>
      <c r="M18" t="s">
        <v>6</v>
      </c>
      <c r="N18" s="1">
        <f>N15/N12</f>
        <v>5.6322210261930392</v>
      </c>
      <c r="O18" t="s">
        <v>7</v>
      </c>
    </row>
    <row r="19" spans="1:18" x14ac:dyDescent="0.25">
      <c r="A19">
        <f t="shared" si="3"/>
        <v>0.4</v>
      </c>
      <c r="B19" s="6">
        <v>40</v>
      </c>
      <c r="C19">
        <v>10</v>
      </c>
      <c r="D19">
        <f t="shared" si="5"/>
        <v>5</v>
      </c>
      <c r="E19" s="1">
        <f t="shared" si="1"/>
        <v>1.3888888888888888</v>
      </c>
      <c r="F19" s="7">
        <f t="shared" si="4"/>
        <v>0.55555555555555558</v>
      </c>
      <c r="G19" s="13">
        <f>(F20-F19)/(B20-B19)*100</f>
        <v>0.90277777777777912</v>
      </c>
      <c r="H19" s="14">
        <f t="shared" si="2"/>
        <v>0.19444444444444392</v>
      </c>
      <c r="I19" t="s">
        <v>39</v>
      </c>
      <c r="M19" t="s">
        <v>15</v>
      </c>
      <c r="N19" s="1">
        <f>N14/N15/3600</f>
        <v>0.84030564934559326</v>
      </c>
      <c r="O19" t="s">
        <v>23</v>
      </c>
    </row>
    <row r="20" spans="1:18" x14ac:dyDescent="0.25">
      <c r="A20">
        <f t="shared" si="3"/>
        <v>0.5</v>
      </c>
      <c r="B20" s="6">
        <v>50</v>
      </c>
      <c r="C20">
        <v>9.3000000000000007</v>
      </c>
      <c r="D20">
        <f t="shared" si="5"/>
        <v>4.6500000000000004</v>
      </c>
      <c r="E20" s="1">
        <f t="shared" si="1"/>
        <v>1.2916666666666667</v>
      </c>
      <c r="F20" s="7">
        <f t="shared" si="4"/>
        <v>0.64583333333333348</v>
      </c>
      <c r="G20" s="6">
        <f>(F21-F20)/(B21-B20)*100</f>
        <v>0.81018518518518445</v>
      </c>
      <c r="H20" s="7">
        <f t="shared" si="2"/>
        <v>0.24074074074074125</v>
      </c>
      <c r="I20">
        <v>1</v>
      </c>
    </row>
    <row r="21" spans="1:18" x14ac:dyDescent="0.25">
      <c r="A21">
        <f t="shared" si="3"/>
        <v>0.65</v>
      </c>
      <c r="B21" s="6">
        <v>65</v>
      </c>
      <c r="C21">
        <v>8.5</v>
      </c>
      <c r="D21">
        <f t="shared" si="5"/>
        <v>4.25</v>
      </c>
      <c r="E21" s="1">
        <f t="shared" si="1"/>
        <v>1.1805555555555556</v>
      </c>
      <c r="F21" s="7">
        <f t="shared" si="4"/>
        <v>0.76736111111111116</v>
      </c>
      <c r="G21" s="8">
        <f>(F22-F21)/(A22-A21)</f>
        <v>1.0615079365079363</v>
      </c>
      <c r="H21" s="11">
        <f>F21-G21*A21</f>
        <v>7.738095238095255E-2</v>
      </c>
      <c r="I21">
        <v>1</v>
      </c>
    </row>
    <row r="22" spans="1:18" ht="18.75" x14ac:dyDescent="0.3">
      <c r="A22">
        <f t="shared" si="3"/>
        <v>1</v>
      </c>
      <c r="B22" s="8">
        <v>100</v>
      </c>
      <c r="C22" s="9">
        <v>8.1999999999999993</v>
      </c>
      <c r="D22" s="9">
        <f t="shared" si="5"/>
        <v>4.0999999999999996</v>
      </c>
      <c r="E22" s="10">
        <f t="shared" si="1"/>
        <v>1.1388888888888888</v>
      </c>
      <c r="F22" s="11">
        <f t="shared" si="4"/>
        <v>1.1388888888888888</v>
      </c>
      <c r="M22" s="20" t="s">
        <v>17</v>
      </c>
      <c r="N22" s="20"/>
      <c r="O22" s="20"/>
      <c r="P22" s="20"/>
      <c r="Q22" s="20"/>
      <c r="R22" s="20"/>
    </row>
    <row r="23" spans="1:18" ht="15" customHeight="1" x14ac:dyDescent="0.25">
      <c r="I23" s="22" t="s">
        <v>64</v>
      </c>
      <c r="J23" s="22"/>
      <c r="M23" t="s">
        <v>8</v>
      </c>
      <c r="N23" t="s">
        <v>9</v>
      </c>
      <c r="O23" t="s">
        <v>10</v>
      </c>
    </row>
    <row r="24" spans="1:18" x14ac:dyDescent="0.25">
      <c r="I24" s="22"/>
      <c r="J24" s="22"/>
      <c r="M24" t="s">
        <v>18</v>
      </c>
      <c r="N24" s="1">
        <v>17.093</v>
      </c>
      <c r="O24" t="s">
        <v>3</v>
      </c>
      <c r="P24" s="1"/>
      <c r="Q24" s="1"/>
    </row>
    <row r="25" spans="1:18" x14ac:dyDescent="0.25">
      <c r="I25" s="22"/>
      <c r="J25" s="22"/>
      <c r="M25" t="s">
        <v>2</v>
      </c>
      <c r="N25" s="1">
        <v>4880</v>
      </c>
      <c r="O25" t="s">
        <v>4</v>
      </c>
      <c r="P25" s="1"/>
      <c r="Q25" s="1"/>
    </row>
    <row r="26" spans="1:18" x14ac:dyDescent="0.25">
      <c r="M26" t="s">
        <v>1</v>
      </c>
      <c r="N26" s="1">
        <v>12.91</v>
      </c>
      <c r="O26" t="s">
        <v>3</v>
      </c>
      <c r="P26" s="1"/>
      <c r="Q26" s="1"/>
    </row>
    <row r="27" spans="1:18" x14ac:dyDescent="0.25">
      <c r="M27" t="s">
        <v>19</v>
      </c>
      <c r="N27" s="1">
        <v>3.9569999999999999</v>
      </c>
      <c r="O27" t="s">
        <v>3</v>
      </c>
      <c r="P27" s="1"/>
      <c r="Q27" s="1"/>
    </row>
    <row r="28" spans="1:18" x14ac:dyDescent="0.25">
      <c r="M28" t="s">
        <v>20</v>
      </c>
      <c r="N28" s="1">
        <v>0.22600000000000001</v>
      </c>
      <c r="O28" t="s">
        <v>3</v>
      </c>
    </row>
    <row r="29" spans="1:18" x14ac:dyDescent="0.25">
      <c r="N29" s="1"/>
    </row>
    <row r="30" spans="1:18" x14ac:dyDescent="0.25">
      <c r="M30" t="s">
        <v>6</v>
      </c>
      <c r="N30" s="1">
        <f>N26/N24</f>
        <v>0.75527993915637981</v>
      </c>
      <c r="O30" t="s">
        <v>21</v>
      </c>
    </row>
    <row r="31" spans="1:18" x14ac:dyDescent="0.25">
      <c r="M31" t="s">
        <v>15</v>
      </c>
      <c r="N31" s="1">
        <f>N25/N26/3600</f>
        <v>0.10500043032963249</v>
      </c>
      <c r="O31" t="s">
        <v>22</v>
      </c>
    </row>
    <row r="35" spans="13:16" x14ac:dyDescent="0.25">
      <c r="M35" s="2">
        <f>26.4/3.6</f>
        <v>7.333333333333333</v>
      </c>
      <c r="N35" s="2" t="s">
        <v>24</v>
      </c>
      <c r="P35">
        <f>18.6/26.4</f>
        <v>0.70454545454545459</v>
      </c>
    </row>
    <row r="36" spans="13:16" x14ac:dyDescent="0.25">
      <c r="M36">
        <v>53.4</v>
      </c>
      <c r="N36" t="s">
        <v>25</v>
      </c>
    </row>
    <row r="37" spans="13:16" x14ac:dyDescent="0.25">
      <c r="M37">
        <v>5.5</v>
      </c>
      <c r="N37" t="s">
        <v>26</v>
      </c>
      <c r="P37">
        <f>18.6/O39</f>
        <v>0.45484860610911027</v>
      </c>
    </row>
    <row r="38" spans="13:16" x14ac:dyDescent="0.25">
      <c r="M38">
        <v>1.65</v>
      </c>
      <c r="N38" t="s">
        <v>24</v>
      </c>
    </row>
    <row r="39" spans="13:16" x14ac:dyDescent="0.25">
      <c r="M39">
        <f>M36/M37+M38</f>
        <v>11.359090909090909</v>
      </c>
      <c r="O39">
        <f>M39*3.6</f>
        <v>40.892727272727278</v>
      </c>
    </row>
  </sheetData>
  <mergeCells count="3">
    <mergeCell ref="M10:R10"/>
    <mergeCell ref="M22:R22"/>
    <mergeCell ref="I23:J25"/>
  </mergeCells>
  <hyperlinks>
    <hyperlink ref="B2" r:id="rId1" tooltip="Persistent link using digital object identifier" xr:uid="{177D4AAE-5E17-4682-A090-879EEA2A355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382D-21D4-4F61-8D2C-C702B531070D}">
  <dimension ref="A1:B9"/>
  <sheetViews>
    <sheetView workbookViewId="0">
      <selection activeCell="E13" sqref="E13"/>
    </sheetView>
  </sheetViews>
  <sheetFormatPr defaultRowHeight="15" x14ac:dyDescent="0.25"/>
  <sheetData>
    <row r="1" spans="1:2" x14ac:dyDescent="0.25">
      <c r="A1" t="s">
        <v>34</v>
      </c>
      <c r="B1" t="s">
        <v>35</v>
      </c>
    </row>
    <row r="2" spans="1:2" x14ac:dyDescent="0.25">
      <c r="A2">
        <f>IF('Haber-Bosch'!$I14=1,'Haber-Bosch'!G14,"")</f>
        <v>0.2296626984126986</v>
      </c>
      <c r="B2">
        <f>IF('Haber-Bosch'!$I14=1,'Haber-Bosch'!H14,"")</f>
        <v>0.40639831349206346</v>
      </c>
    </row>
    <row r="3" spans="1:2" x14ac:dyDescent="0.25">
      <c r="A3" t="str">
        <f>IF('Haber-Bosch'!$I15=1,'Haber-Bosch'!G15,"")</f>
        <v/>
      </c>
      <c r="B3" t="str">
        <f>IF('Haber-Bosch'!$I15=1,'Haber-Bosch'!H15,"")</f>
        <v/>
      </c>
    </row>
    <row r="4" spans="1:2" x14ac:dyDescent="0.25">
      <c r="A4" t="str">
        <f>IF('Haber-Bosch'!$I16=1,'Haber-Bosch'!G16,"")</f>
        <v/>
      </c>
      <c r="B4" t="str">
        <f>IF('Haber-Bosch'!$I16=1,'Haber-Bosch'!H16,"")</f>
        <v/>
      </c>
    </row>
    <row r="5" spans="1:2" x14ac:dyDescent="0.25">
      <c r="A5">
        <f>IF('Haber-Bosch'!$I17=1,'Haber-Bosch'!G17,"")</f>
        <v>0.53852201257861565</v>
      </c>
      <c r="B5">
        <f>IF('Haber-Bosch'!$I17=1,'Haber-Bosch'!H17,"")</f>
        <v>0.33011006289308198</v>
      </c>
    </row>
    <row r="6" spans="1:2" x14ac:dyDescent="0.25">
      <c r="A6">
        <f>IF('Haber-Bosch'!$I18=1,'Haber-Bosch'!G18,"")</f>
        <v>0.77083333333333426</v>
      </c>
      <c r="B6">
        <f>IF('Haber-Bosch'!$I18=1,'Haber-Bosch'!H18,"")</f>
        <v>0.26041666666666635</v>
      </c>
    </row>
    <row r="7" spans="1:2" x14ac:dyDescent="0.25">
      <c r="A7" t="str">
        <f>IF('Haber-Bosch'!$I19=1,'Haber-Bosch'!G19,"")</f>
        <v/>
      </c>
      <c r="B7" t="str">
        <f>IF('Haber-Bosch'!$I19=1,'Haber-Bosch'!H19,"")</f>
        <v/>
      </c>
    </row>
    <row r="8" spans="1:2" x14ac:dyDescent="0.25">
      <c r="A8">
        <f>IF('Haber-Bosch'!$I20=1,'Haber-Bosch'!G20,"")</f>
        <v>0.81018518518518445</v>
      </c>
      <c r="B8">
        <f>IF('Haber-Bosch'!$I20=1,'Haber-Bosch'!H20,"")</f>
        <v>0.24074074074074125</v>
      </c>
    </row>
    <row r="9" spans="1:2" x14ac:dyDescent="0.25">
      <c r="A9">
        <f>IF('Haber-Bosch'!$I21=1,'Haber-Bosch'!G21,"")</f>
        <v>1.0615079365079363</v>
      </c>
      <c r="B9">
        <f>IF('Haber-Bosch'!$I21=1,'Haber-Bosch'!H21,"")</f>
        <v>7.738095238095255E-2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2A02-E07B-49C9-A904-DA898FA88E1A}">
  <dimension ref="A1:L37"/>
  <sheetViews>
    <sheetView workbookViewId="0">
      <selection activeCell="M18" sqref="M18"/>
    </sheetView>
  </sheetViews>
  <sheetFormatPr defaultRowHeight="15" x14ac:dyDescent="0.25"/>
  <sheetData>
    <row r="1" spans="1:12" x14ac:dyDescent="0.25">
      <c r="B1" t="s">
        <v>40</v>
      </c>
      <c r="C1">
        <v>0.1</v>
      </c>
      <c r="D1">
        <v>0.191241457562488</v>
      </c>
      <c r="E1">
        <v>0.28248291512497598</v>
      </c>
      <c r="F1">
        <v>0.52165527674998402</v>
      </c>
      <c r="G1">
        <v>0.76082763837499201</v>
      </c>
      <c r="H1">
        <v>1</v>
      </c>
    </row>
    <row r="2" spans="1:12" x14ac:dyDescent="0.25">
      <c r="B2" t="s">
        <v>35</v>
      </c>
      <c r="C2">
        <v>-0.67115989191556003</v>
      </c>
      <c r="D2">
        <v>-0.241444643582996</v>
      </c>
      <c r="E2">
        <v>0.41119712131191399</v>
      </c>
      <c r="F2">
        <v>1.39381518857062</v>
      </c>
      <c r="G2">
        <v>2.3063682707939699</v>
      </c>
    </row>
    <row r="3" spans="1:12" x14ac:dyDescent="0.25">
      <c r="B3" t="s">
        <v>34</v>
      </c>
      <c r="C3">
        <v>22.881034843903201</v>
      </c>
      <c r="D3">
        <v>20.634057364178901</v>
      </c>
      <c r="E3">
        <v>18.323681302652599</v>
      </c>
      <c r="F3">
        <v>16.440027267020898</v>
      </c>
      <c r="G3">
        <v>15.2406056947809</v>
      </c>
      <c r="J3" t="s">
        <v>42</v>
      </c>
    </row>
    <row r="4" spans="1:12" x14ac:dyDescent="0.25">
      <c r="J4">
        <v>285</v>
      </c>
      <c r="K4" t="s">
        <v>43</v>
      </c>
    </row>
    <row r="5" spans="1:12" ht="15.75" thickBot="1" x14ac:dyDescent="0.3">
      <c r="A5" t="s">
        <v>41</v>
      </c>
      <c r="B5" t="s">
        <v>2</v>
      </c>
      <c r="C5" s="21" t="s">
        <v>46</v>
      </c>
      <c r="D5" s="21"/>
      <c r="E5" s="21"/>
      <c r="F5" s="21"/>
      <c r="G5" s="21"/>
      <c r="J5">
        <f>J4*3600/120</f>
        <v>8550</v>
      </c>
      <c r="K5" t="s">
        <v>44</v>
      </c>
    </row>
    <row r="6" spans="1:12" ht="15.75" thickBot="1" x14ac:dyDescent="0.3">
      <c r="A6">
        <v>0.1</v>
      </c>
      <c r="B6">
        <f t="shared" ref="B6:B15" si="0">A6*J$4</f>
        <v>28.5</v>
      </c>
      <c r="C6" s="17">
        <f>C$3*$B6+C$2*$J$4</f>
        <v>460.82892385530658</v>
      </c>
      <c r="D6">
        <f t="shared" ref="D6:G15" si="1">D$3*$B6+D$2*$J$4</f>
        <v>519.25891145794481</v>
      </c>
      <c r="E6">
        <f t="shared" si="1"/>
        <v>639.41609669949457</v>
      </c>
      <c r="F6">
        <f t="shared" si="1"/>
        <v>865.77810585272232</v>
      </c>
      <c r="G6">
        <f t="shared" si="1"/>
        <v>1091.6722194775371</v>
      </c>
    </row>
    <row r="7" spans="1:12" ht="15.75" thickBot="1" x14ac:dyDescent="0.3">
      <c r="A7">
        <v>0.2</v>
      </c>
      <c r="B7">
        <f t="shared" si="0"/>
        <v>57</v>
      </c>
      <c r="C7">
        <f t="shared" ref="C7:C15" si="2">C$3*$B7+C$2*$J$4</f>
        <v>1112.9384169065479</v>
      </c>
      <c r="D7" s="17">
        <f t="shared" si="1"/>
        <v>1107.3295463370434</v>
      </c>
      <c r="E7">
        <f t="shared" si="1"/>
        <v>1161.6410138250935</v>
      </c>
      <c r="F7">
        <f t="shared" si="1"/>
        <v>1334.318882962818</v>
      </c>
      <c r="G7">
        <f t="shared" si="1"/>
        <v>1526.0294817787926</v>
      </c>
    </row>
    <row r="8" spans="1:12" ht="15.75" thickBot="1" x14ac:dyDescent="0.3">
      <c r="A8">
        <v>0.3</v>
      </c>
      <c r="B8">
        <f t="shared" si="0"/>
        <v>85.5</v>
      </c>
      <c r="C8">
        <f t="shared" si="2"/>
        <v>1765.0479099577892</v>
      </c>
      <c r="D8">
        <f t="shared" si="1"/>
        <v>1695.4001812161421</v>
      </c>
      <c r="E8" s="17">
        <f t="shared" si="1"/>
        <v>1683.8659309506925</v>
      </c>
      <c r="F8">
        <f t="shared" si="1"/>
        <v>1802.8596600729136</v>
      </c>
      <c r="G8">
        <f t="shared" si="1"/>
        <v>1960.3867440800482</v>
      </c>
    </row>
    <row r="9" spans="1:12" ht="15.75" thickBot="1" x14ac:dyDescent="0.3">
      <c r="A9">
        <v>0.4</v>
      </c>
      <c r="B9">
        <f t="shared" si="0"/>
        <v>114</v>
      </c>
      <c r="C9">
        <f t="shared" si="2"/>
        <v>2417.1574030090301</v>
      </c>
      <c r="D9">
        <f t="shared" si="1"/>
        <v>2283.4708160952405</v>
      </c>
      <c r="E9" s="17">
        <f t="shared" si="1"/>
        <v>2206.0908480762919</v>
      </c>
      <c r="F9">
        <f t="shared" si="1"/>
        <v>2271.4004371830092</v>
      </c>
      <c r="G9">
        <f t="shared" si="1"/>
        <v>2394.7440063813042</v>
      </c>
    </row>
    <row r="10" spans="1:12" ht="15.75" thickBot="1" x14ac:dyDescent="0.3">
      <c r="A10">
        <v>0.5</v>
      </c>
      <c r="B10">
        <f t="shared" si="0"/>
        <v>142.5</v>
      </c>
      <c r="C10">
        <f t="shared" si="2"/>
        <v>3069.2668960602714</v>
      </c>
      <c r="D10">
        <f t="shared" si="1"/>
        <v>2871.5414509743391</v>
      </c>
      <c r="E10" s="17">
        <f t="shared" si="1"/>
        <v>2728.3157652018908</v>
      </c>
      <c r="F10">
        <f t="shared" si="1"/>
        <v>2739.9412142931046</v>
      </c>
      <c r="G10">
        <f t="shared" si="1"/>
        <v>2829.1012686825597</v>
      </c>
    </row>
    <row r="11" spans="1:12" ht="15.75" thickBot="1" x14ac:dyDescent="0.3">
      <c r="A11">
        <v>0.6</v>
      </c>
      <c r="B11">
        <f t="shared" si="0"/>
        <v>171</v>
      </c>
      <c r="C11">
        <f t="shared" si="2"/>
        <v>3721.3763891115127</v>
      </c>
      <c r="D11">
        <f t="shared" si="1"/>
        <v>3459.6120858534377</v>
      </c>
      <c r="E11">
        <f t="shared" si="1"/>
        <v>3250.5406823274898</v>
      </c>
      <c r="F11" s="17">
        <f t="shared" si="1"/>
        <v>3208.4819914032005</v>
      </c>
      <c r="G11">
        <f t="shared" si="1"/>
        <v>3263.4585309838153</v>
      </c>
    </row>
    <row r="12" spans="1:12" ht="15.75" thickBot="1" x14ac:dyDescent="0.3">
      <c r="A12">
        <v>0.7</v>
      </c>
      <c r="B12">
        <f t="shared" si="0"/>
        <v>199.5</v>
      </c>
      <c r="C12">
        <f t="shared" si="2"/>
        <v>4373.485882162754</v>
      </c>
      <c r="D12">
        <f t="shared" si="1"/>
        <v>4047.6827207325368</v>
      </c>
      <c r="E12">
        <f t="shared" si="1"/>
        <v>3772.7655994530892</v>
      </c>
      <c r="F12" s="17">
        <f t="shared" si="1"/>
        <v>3677.0227685132959</v>
      </c>
      <c r="G12">
        <f t="shared" si="1"/>
        <v>3697.8157932850709</v>
      </c>
    </row>
    <row r="13" spans="1:12" ht="15.75" thickBot="1" x14ac:dyDescent="0.3">
      <c r="A13">
        <v>0.8</v>
      </c>
      <c r="B13">
        <f t="shared" si="0"/>
        <v>228</v>
      </c>
      <c r="C13">
        <f t="shared" si="2"/>
        <v>5025.5953752139949</v>
      </c>
      <c r="D13">
        <f t="shared" si="1"/>
        <v>4635.753355611635</v>
      </c>
      <c r="E13">
        <f t="shared" si="1"/>
        <v>4294.9905165786877</v>
      </c>
      <c r="F13">
        <f t="shared" si="1"/>
        <v>4145.5635456233922</v>
      </c>
      <c r="G13" s="17">
        <f>G$3*$B13+G$2*$J$4</f>
        <v>4132.1730555863269</v>
      </c>
    </row>
    <row r="14" spans="1:12" ht="15.75" thickBot="1" x14ac:dyDescent="0.3">
      <c r="A14">
        <v>0.9</v>
      </c>
      <c r="B14">
        <f t="shared" si="0"/>
        <v>256.5</v>
      </c>
      <c r="C14">
        <f t="shared" si="2"/>
        <v>5677.7048682652367</v>
      </c>
      <c r="D14">
        <f t="shared" si="1"/>
        <v>5223.8239904907341</v>
      </c>
      <c r="E14">
        <f t="shared" si="1"/>
        <v>4817.2154337042866</v>
      </c>
      <c r="F14">
        <f t="shared" si="1"/>
        <v>4614.1043227334867</v>
      </c>
      <c r="G14" s="17">
        <f t="shared" si="1"/>
        <v>4566.530317887582</v>
      </c>
    </row>
    <row r="15" spans="1:12" ht="15.75" thickBot="1" x14ac:dyDescent="0.3">
      <c r="A15">
        <v>1</v>
      </c>
      <c r="B15">
        <f t="shared" si="0"/>
        <v>285</v>
      </c>
      <c r="C15">
        <f t="shared" si="2"/>
        <v>6329.8143613164775</v>
      </c>
      <c r="D15">
        <f t="shared" si="1"/>
        <v>5811.8946253698323</v>
      </c>
      <c r="E15">
        <f t="shared" si="1"/>
        <v>5339.4403508298856</v>
      </c>
      <c r="F15">
        <f t="shared" si="1"/>
        <v>5082.645099843583</v>
      </c>
      <c r="G15" s="17">
        <f t="shared" si="1"/>
        <v>5000.887580188838</v>
      </c>
      <c r="K15">
        <v>3600</v>
      </c>
      <c r="L15" t="s">
        <v>45</v>
      </c>
    </row>
    <row r="16" spans="1:12" ht="15.75" thickBot="1" x14ac:dyDescent="0.3">
      <c r="C16" s="21" t="s">
        <v>47</v>
      </c>
      <c r="D16" s="21"/>
      <c r="E16" s="21"/>
      <c r="F16" s="21"/>
      <c r="G16" s="21"/>
      <c r="K16">
        <f>K15/120</f>
        <v>30</v>
      </c>
    </row>
    <row r="17" spans="3:11" ht="15.75" thickBot="1" x14ac:dyDescent="0.3">
      <c r="C17" s="17">
        <f>$B6/C6*1000</f>
        <v>61.845076393140154</v>
      </c>
      <c r="D17">
        <f t="shared" ref="D17:G17" si="3">$B6/D6*1000</f>
        <v>54.885914080856821</v>
      </c>
      <c r="E17">
        <f t="shared" si="3"/>
        <v>44.571915138060881</v>
      </c>
      <c r="F17">
        <f t="shared" si="3"/>
        <v>32.91836534943301</v>
      </c>
      <c r="G17">
        <f t="shared" si="3"/>
        <v>26.106737435930906</v>
      </c>
    </row>
    <row r="18" spans="3:11" ht="15.75" thickBot="1" x14ac:dyDescent="0.3">
      <c r="C18">
        <f t="shared" ref="C18:G18" si="4">$B7/C7*1000</f>
        <v>51.215771811016765</v>
      </c>
      <c r="D18" s="17">
        <f t="shared" si="4"/>
        <v>51.475191092436198</v>
      </c>
      <c r="E18">
        <f t="shared" si="4"/>
        <v>49.06851542053284</v>
      </c>
      <c r="F18">
        <f t="shared" si="4"/>
        <v>42.718424154676647</v>
      </c>
      <c r="G18">
        <f t="shared" si="4"/>
        <v>37.351834076992297</v>
      </c>
    </row>
    <row r="19" spans="3:11" ht="15.75" thickBot="1" x14ac:dyDescent="0.3">
      <c r="C19">
        <f t="shared" ref="C19:G19" si="5">$B8/C8*1000</f>
        <v>48.440611451756411</v>
      </c>
      <c r="D19">
        <f t="shared" si="5"/>
        <v>50.430571464649283</v>
      </c>
      <c r="E19" s="17">
        <f t="shared" si="5"/>
        <v>50.776013950070016</v>
      </c>
      <c r="F19">
        <f t="shared" si="5"/>
        <v>47.424656446382571</v>
      </c>
      <c r="G19">
        <f t="shared" si="5"/>
        <v>43.613843165483466</v>
      </c>
    </row>
    <row r="20" spans="3:11" ht="15.75" thickBot="1" x14ac:dyDescent="0.3">
      <c r="C20">
        <f t="shared" ref="C20:G20" si="6">$B9/C9*1000</f>
        <v>47.162836751171277</v>
      </c>
      <c r="D20">
        <f t="shared" si="6"/>
        <v>49.924001303831517</v>
      </c>
      <c r="E20" s="17">
        <f t="shared" si="6"/>
        <v>51.675115782021322</v>
      </c>
      <c r="F20">
        <f t="shared" si="6"/>
        <v>50.189300897283786</v>
      </c>
      <c r="G20">
        <f t="shared" si="6"/>
        <v>47.604253187907673</v>
      </c>
    </row>
    <row r="21" spans="3:11" ht="15.75" thickBot="1" x14ac:dyDescent="0.3">
      <c r="C21">
        <f t="shared" ref="C21:G21" si="7">$B10/C10*1000</f>
        <v>46.428024940715915</v>
      </c>
      <c r="D21">
        <f t="shared" si="7"/>
        <v>49.624914852490988</v>
      </c>
      <c r="E21" s="17">
        <f t="shared" si="7"/>
        <v>52.230024771144933</v>
      </c>
      <c r="F21">
        <f t="shared" si="7"/>
        <v>52.008415091768498</v>
      </c>
      <c r="G21">
        <f t="shared" si="7"/>
        <v>50.369352832095196</v>
      </c>
    </row>
    <row r="22" spans="3:11" ht="15.75" thickBot="1" x14ac:dyDescent="0.3">
      <c r="C22">
        <f t="shared" ref="C22:G22" si="8">$B11/C11*1000</f>
        <v>45.950740296072723</v>
      </c>
      <c r="D22">
        <f t="shared" si="8"/>
        <v>49.427506829227852</v>
      </c>
      <c r="E22">
        <f t="shared" si="8"/>
        <v>52.60663277641509</v>
      </c>
      <c r="F22" s="17">
        <f t="shared" si="8"/>
        <v>53.296231818715839</v>
      </c>
      <c r="G22">
        <f t="shared" si="8"/>
        <v>52.398398317765555</v>
      </c>
      <c r="K22">
        <f>J5/(G3+G2)</f>
        <v>487.26350291361399</v>
      </c>
    </row>
    <row r="23" spans="3:11" ht="15.75" thickBot="1" x14ac:dyDescent="0.3">
      <c r="C23">
        <f t="shared" ref="C23:G23" si="9">$B12/C12*1000</f>
        <v>45.615786897508919</v>
      </c>
      <c r="D23">
        <f t="shared" si="9"/>
        <v>49.287459952862882</v>
      </c>
      <c r="E23">
        <f t="shared" si="9"/>
        <v>52.878980880476668</v>
      </c>
      <c r="F23" s="17">
        <f t="shared" si="9"/>
        <v>54.255851149015974</v>
      </c>
      <c r="G23">
        <f t="shared" si="9"/>
        <v>53.950767467183084</v>
      </c>
    </row>
    <row r="24" spans="3:11" ht="15.75" thickBot="1" x14ac:dyDescent="0.3">
      <c r="C24">
        <f t="shared" ref="C24:G24" si="10">$B13/C13*1000</f>
        <v>45.367759036966149</v>
      </c>
      <c r="D24">
        <f t="shared" si="10"/>
        <v>49.182944498978415</v>
      </c>
      <c r="E24">
        <f t="shared" si="10"/>
        <v>53.085099750492745</v>
      </c>
      <c r="F24">
        <f t="shared" si="10"/>
        <v>54.998553873503418</v>
      </c>
      <c r="G24" s="17">
        <f t="shared" si="10"/>
        <v>55.176779126364153</v>
      </c>
    </row>
    <row r="25" spans="3:11" ht="15.75" thickBot="1" x14ac:dyDescent="0.3">
      <c r="C25">
        <f t="shared" ref="C25:G26" si="11">$B14/C14*1000</f>
        <v>45.176705367986294</v>
      </c>
      <c r="D25">
        <f t="shared" si="11"/>
        <v>49.101960645481853</v>
      </c>
      <c r="E25">
        <f t="shared" si="11"/>
        <v>53.246528732213989</v>
      </c>
      <c r="F25">
        <f t="shared" si="11"/>
        <v>55.590420601510012</v>
      </c>
      <c r="G25" s="17">
        <f t="shared" si="11"/>
        <v>56.169560288532935</v>
      </c>
    </row>
    <row r="26" spans="3:11" ht="15.75" thickBot="1" x14ac:dyDescent="0.3">
      <c r="C26">
        <f>$B15/C15*1000</f>
        <v>45.025017122417722</v>
      </c>
      <c r="D26">
        <f t="shared" si="11"/>
        <v>49.037365329359254</v>
      </c>
      <c r="E26">
        <f t="shared" si="11"/>
        <v>53.376380533159001</v>
      </c>
      <c r="F26">
        <f t="shared" si="11"/>
        <v>56.073165527290271</v>
      </c>
      <c r="G26" s="17">
        <f t="shared" si="11"/>
        <v>56.989883381709241</v>
      </c>
    </row>
    <row r="27" spans="3:11" ht="15.75" thickBot="1" x14ac:dyDescent="0.3">
      <c r="C27" s="21" t="s">
        <v>47</v>
      </c>
      <c r="D27" s="21"/>
      <c r="E27" s="21"/>
      <c r="F27" s="21"/>
      <c r="G27" s="21"/>
    </row>
    <row r="28" spans="3:11" ht="15.75" thickBot="1" x14ac:dyDescent="0.3">
      <c r="C28" s="16">
        <f>33.33/C17</f>
        <v>0.53892729937183736</v>
      </c>
      <c r="D28" s="15">
        <f t="shared" ref="D28:G28" si="12">33.33/D17</f>
        <v>0.60725963224187018</v>
      </c>
      <c r="E28" s="15">
        <f t="shared" si="12"/>
        <v>0.74778029835067195</v>
      </c>
      <c r="F28" s="15">
        <f t="shared" si="12"/>
        <v>1.0125047111603942</v>
      </c>
      <c r="G28" s="15">
        <f t="shared" si="12"/>
        <v>1.2766819324626777</v>
      </c>
    </row>
    <row r="29" spans="3:11" ht="15.75" thickBot="1" x14ac:dyDescent="0.3">
      <c r="C29" s="15">
        <f t="shared" ref="C29:G29" si="13">33.33/C18</f>
        <v>0.6507760953595656</v>
      </c>
      <c r="D29" s="16">
        <f t="shared" si="13"/>
        <v>0.64749638209497651</v>
      </c>
      <c r="E29" s="15">
        <f t="shared" si="13"/>
        <v>0.67925429808404147</v>
      </c>
      <c r="F29" s="15">
        <f t="shared" si="13"/>
        <v>0.78022540998510026</v>
      </c>
      <c r="G29" s="15">
        <f t="shared" si="13"/>
        <v>0.89232566013486236</v>
      </c>
    </row>
    <row r="30" spans="3:11" ht="15.75" thickBot="1" x14ac:dyDescent="0.3">
      <c r="C30" s="15">
        <f t="shared" ref="C30:G30" si="14">33.33/C19</f>
        <v>0.68805902735547497</v>
      </c>
      <c r="D30" s="15">
        <f t="shared" si="14"/>
        <v>0.66090863204601191</v>
      </c>
      <c r="E30" s="16">
        <f t="shared" si="14"/>
        <v>0.65641229799516465</v>
      </c>
      <c r="F30" s="15">
        <f t="shared" si="14"/>
        <v>0.70279897626000254</v>
      </c>
      <c r="G30" s="15">
        <f t="shared" si="14"/>
        <v>0.76420690269225744</v>
      </c>
    </row>
    <row r="31" spans="3:11" ht="15.75" thickBot="1" x14ac:dyDescent="0.3">
      <c r="C31" s="15">
        <f t="shared" ref="C31:G31" si="15">33.33/C20</f>
        <v>0.70670049335342955</v>
      </c>
      <c r="D31" s="15">
        <f t="shared" si="15"/>
        <v>0.6676147570215295</v>
      </c>
      <c r="E31" s="16">
        <f t="shared" si="15"/>
        <v>0.64499129795072641</v>
      </c>
      <c r="F31" s="15">
        <f t="shared" si="15"/>
        <v>0.66408575939745351</v>
      </c>
      <c r="G31" s="15">
        <f t="shared" si="15"/>
        <v>0.70014752397095503</v>
      </c>
    </row>
    <row r="32" spans="3:11" ht="15.75" thickBot="1" x14ac:dyDescent="0.3">
      <c r="C32" s="15">
        <f t="shared" ref="C32:G32" si="16">33.33/C21</f>
        <v>0.71788537295220234</v>
      </c>
      <c r="D32" s="15">
        <f t="shared" si="16"/>
        <v>0.67163843200684015</v>
      </c>
      <c r="E32" s="16">
        <f t="shared" si="16"/>
        <v>0.6381386979240633</v>
      </c>
      <c r="F32" s="15">
        <f t="shared" si="16"/>
        <v>0.64085782927992396</v>
      </c>
      <c r="G32" s="15">
        <f t="shared" si="16"/>
        <v>0.66171189673817343</v>
      </c>
    </row>
    <row r="33" spans="3:7" ht="15.75" thickBot="1" x14ac:dyDescent="0.3">
      <c r="C33" s="15">
        <f t="shared" ref="C33:G33" si="17">33.33/C22</f>
        <v>0.72534195935138435</v>
      </c>
      <c r="D33" s="15">
        <f t="shared" si="17"/>
        <v>0.67432088199704721</v>
      </c>
      <c r="E33" s="15">
        <f t="shared" si="17"/>
        <v>0.63357029790628794</v>
      </c>
      <c r="F33" s="16">
        <f t="shared" si="17"/>
        <v>0.62537254253490449</v>
      </c>
      <c r="G33" s="15">
        <f t="shared" si="17"/>
        <v>0.6360881452496524</v>
      </c>
    </row>
    <row r="34" spans="3:7" ht="15.75" thickBot="1" x14ac:dyDescent="0.3">
      <c r="C34" s="15">
        <f t="shared" ref="C34:G34" si="18">33.33/C23</f>
        <v>0.73066809249365705</v>
      </c>
      <c r="D34" s="15">
        <f t="shared" si="18"/>
        <v>0.67623691770433814</v>
      </c>
      <c r="E34" s="15">
        <f t="shared" si="18"/>
        <v>0.63030715503644841</v>
      </c>
      <c r="F34" s="16">
        <f t="shared" si="18"/>
        <v>0.61431162343131906</v>
      </c>
      <c r="G34" s="15">
        <f t="shared" si="18"/>
        <v>0.61778546561499448</v>
      </c>
    </row>
    <row r="35" spans="3:7" ht="15.75" thickBot="1" x14ac:dyDescent="0.3">
      <c r="C35" s="15">
        <f t="shared" ref="C35:G35" si="19">33.33/C24</f>
        <v>0.73466269235036163</v>
      </c>
      <c r="D35" s="15">
        <f t="shared" si="19"/>
        <v>0.67767394448480611</v>
      </c>
      <c r="E35" s="15">
        <f t="shared" si="19"/>
        <v>0.62785979788406865</v>
      </c>
      <c r="F35" s="15">
        <f t="shared" si="19"/>
        <v>0.60601593410363008</v>
      </c>
      <c r="G35" s="16">
        <f t="shared" si="19"/>
        <v>0.60405845588900109</v>
      </c>
    </row>
    <row r="36" spans="3:7" ht="15.75" thickBot="1" x14ac:dyDescent="0.3">
      <c r="C36" s="15">
        <f t="shared" ref="C36:G36" si="20">33.33/C25</f>
        <v>0.73776960335002073</v>
      </c>
      <c r="D36" s="15">
        <f t="shared" si="20"/>
        <v>0.67879163198072578</v>
      </c>
      <c r="E36" s="15">
        <f t="shared" si="20"/>
        <v>0.62595629787666229</v>
      </c>
      <c r="F36" s="15">
        <f t="shared" si="20"/>
        <v>0.59956373129320506</v>
      </c>
      <c r="G36" s="16">
        <f t="shared" si="20"/>
        <v>0.59338189276878406</v>
      </c>
    </row>
    <row r="37" spans="3:7" ht="15.75" thickBot="1" x14ac:dyDescent="0.3">
      <c r="C37" s="15">
        <f t="shared" ref="C37:G37" si="21">33.33/C26</f>
        <v>0.74025513214974803</v>
      </c>
      <c r="D37" s="15">
        <f t="shared" si="21"/>
        <v>0.67968578197746143</v>
      </c>
      <c r="E37" s="15">
        <f t="shared" si="21"/>
        <v>0.62443349787073721</v>
      </c>
      <c r="F37" s="15">
        <f t="shared" si="21"/>
        <v>0.59440196904486531</v>
      </c>
      <c r="G37" s="16">
        <f t="shared" si="21"/>
        <v>0.58484064227261034</v>
      </c>
    </row>
  </sheetData>
  <mergeCells count="3">
    <mergeCell ref="C5:G5"/>
    <mergeCell ref="C16:G16"/>
    <mergeCell ref="C27:G27"/>
  </mergeCells>
  <conditionalFormatting sqref="C6:G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G1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G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G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G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G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G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G1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G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G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G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G1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1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G1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G2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G2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:G2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G2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:G24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:G25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:G2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:G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1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8545-6475-47E0-9FF3-CB07B4405C66}">
  <dimension ref="A1:C30"/>
  <sheetViews>
    <sheetView workbookViewId="0">
      <selection activeCell="E26" sqref="E26"/>
    </sheetView>
  </sheetViews>
  <sheetFormatPr defaultRowHeight="15" x14ac:dyDescent="0.25"/>
  <sheetData>
    <row r="1" spans="1:2" x14ac:dyDescent="0.25">
      <c r="A1" t="s">
        <v>48</v>
      </c>
      <c r="B1" s="18" t="s">
        <v>52</v>
      </c>
    </row>
    <row r="2" spans="1:2" x14ac:dyDescent="0.25">
      <c r="A2" t="s">
        <v>50</v>
      </c>
      <c r="B2" s="19" t="s">
        <v>51</v>
      </c>
    </row>
    <row r="5" spans="1:2" x14ac:dyDescent="0.25">
      <c r="A5" t="s">
        <v>53</v>
      </c>
    </row>
    <row r="23" spans="1:3" x14ac:dyDescent="0.25">
      <c r="A23" t="s">
        <v>54</v>
      </c>
      <c r="B23">
        <v>8.3140000000000001</v>
      </c>
      <c r="C23" t="s">
        <v>63</v>
      </c>
    </row>
    <row r="24" spans="1:3" x14ac:dyDescent="0.25">
      <c r="A24" t="s">
        <v>55</v>
      </c>
      <c r="B24">
        <f>90+273.15</f>
        <v>363.15</v>
      </c>
      <c r="C24" t="s">
        <v>61</v>
      </c>
    </row>
    <row r="25" spans="1:3" x14ac:dyDescent="0.25">
      <c r="A25" t="s">
        <v>56</v>
      </c>
      <c r="B25">
        <v>1.4</v>
      </c>
    </row>
    <row r="26" spans="1:3" x14ac:dyDescent="0.25">
      <c r="A26" t="s">
        <v>57</v>
      </c>
      <c r="B26">
        <v>0.75</v>
      </c>
    </row>
    <row r="27" spans="1:3" x14ac:dyDescent="0.25">
      <c r="A27" t="s">
        <v>58</v>
      </c>
      <c r="B27">
        <v>100</v>
      </c>
      <c r="C27" t="s">
        <v>62</v>
      </c>
    </row>
    <row r="28" spans="1:3" x14ac:dyDescent="0.25">
      <c r="A28" t="s">
        <v>59</v>
      </c>
      <c r="B28">
        <v>30</v>
      </c>
      <c r="C28" t="s">
        <v>62</v>
      </c>
    </row>
    <row r="30" spans="1:3" x14ac:dyDescent="0.25">
      <c r="A30" t="s">
        <v>60</v>
      </c>
      <c r="B30">
        <f>(B23*B24)/(2*(B25-1)*B26)*((B27/B28)^((B25-1)/B25)-1)</f>
        <v>2065.9964535478848</v>
      </c>
      <c r="C30" t="s">
        <v>31</v>
      </c>
    </row>
  </sheetData>
  <hyperlinks>
    <hyperlink ref="B2" r:id="rId1" tooltip="Persistent link using digital object identifier" xr:uid="{EAB01EFF-5067-4D48-969B-1064E122B9E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Haber-Bosch</vt:lpstr>
      <vt:lpstr>Piecewise</vt:lpstr>
      <vt:lpstr>Electrolyzer</vt:lpstr>
      <vt:lpstr>H2 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2015-06-05T18:19:34Z</dcterms:created>
  <dcterms:modified xsi:type="dcterms:W3CDTF">2026-03-31T08:39:50Z</dcterms:modified>
</cp:coreProperties>
</file>