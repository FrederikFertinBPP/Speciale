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results/article_updated/"/>
    </mc:Choice>
  </mc:AlternateContent>
  <xr:revisionPtr revIDLastSave="6" documentId="8_{293F47DB-29A2-4FA8-B302-B19349A4A373}" xr6:coauthVersionLast="47" xr6:coauthVersionMax="47" xr10:uidLastSave="{F10FB7CC-8AF9-4214-B1F7-558B2CF84E22}"/>
  <bookViews>
    <workbookView xWindow="-19310" yWindow="-110" windowWidth="19420" windowHeight="10300" xr2:uid="{C3F3C20C-BAD3-4B96-822B-6260722A246F}"/>
  </bookViews>
  <sheets>
    <sheet name="Sheet1" sheetId="1" r:id="rId1"/>
  </sheets>
  <definedNames>
    <definedName name="_xlchart.v1.0" hidden="1">Sheet1!$H$2</definedName>
    <definedName name="_xlchart.v1.1" hidden="1">Sheet1!$H$3:$H$12</definedName>
    <definedName name="_xlchart.v1.2" hidden="1">Sheet1!$I$2</definedName>
    <definedName name="_xlchart.v1.3" hidden="1">Sheet1!$I$3:$I$12</definedName>
    <definedName name="_xlchart.v1.4" hidden="1">Sheet1!$H$2</definedName>
    <definedName name="_xlchart.v1.5" hidden="1">Sheet1!$H$3:$H$12</definedName>
    <definedName name="_xlchart.v1.6" hidden="1">Sheet1!$I$2</definedName>
    <definedName name="_xlchart.v1.7" hidden="1">Sheet1!$I$3:$I$12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  <c r="I4" i="1"/>
  <c r="I5" i="1"/>
  <c r="I6" i="1"/>
  <c r="I7" i="1"/>
  <c r="I8" i="1"/>
  <c r="I9" i="1"/>
  <c r="I10" i="1"/>
  <c r="I11" i="1"/>
  <c r="I12" i="1"/>
  <c r="I3" i="1"/>
</calcChain>
</file>

<file path=xl/sharedStrings.xml><?xml version="1.0" encoding="utf-8"?>
<sst xmlns="http://schemas.openxmlformats.org/spreadsheetml/2006/main" count="12" uniqueCount="7">
  <si>
    <t>CVaR</t>
  </si>
  <si>
    <t>Neutral</t>
  </si>
  <si>
    <t>Earnings</t>
  </si>
  <si>
    <t>Contract Revenue</t>
  </si>
  <si>
    <t>Electricity Cost</t>
  </si>
  <si>
    <t>PPA cost</t>
  </si>
  <si>
    <t>Risk-Neutral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</si>
</sst>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plotSurface>
          <cx:spPr>
            <a:ln w="6350">
              <a:solidFill>
                <a:schemeClr val="tx1"/>
              </a:solidFill>
            </a:ln>
          </cx:spPr>
        </cx:plotSurface>
        <cx:series layoutId="boxWhisker" uniqueId="{00000001-5E06-4E5B-839E-E3AAEA50250A}" formatIdx="1">
          <cx:tx>
            <cx:txData>
              <cx:f>_xlchart.v1.0</cx:f>
              <cx:v>Risk-Neutral</cx:v>
            </cx:txData>
          </cx:tx>
          <cx:spPr>
            <a:noFill/>
            <a:ln w="15875">
              <a:solidFill>
                <a:srgbClr val="00B050"/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2-5E06-4E5B-839E-E3AAEA50250A}">
          <cx:tx>
            <cx:txData>
              <cx:v>Risk-Averse</cx:v>
            </cx:txData>
          </cx:tx>
          <cx:spPr>
            <a:noFill/>
            <a:ln w="15875">
              <a:solidFill>
                <a:srgbClr val="0070C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0.140000001"/>
        <cx:tickLabels/>
      </cx:axis>
      <cx:axis id="1">
        <cx:valScaling/>
        <cx:title>
          <cx:tx>
            <cx:txData>
              <cx:v>M€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M€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  <a:alpha val="98000"/>
                  </a:sys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  <a:alpha val="98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en-US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  <cx:spPr>
    <a:ln w="19050"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34921</xdr:colOff>
      <xdr:row>12</xdr:row>
      <xdr:rowOff>111124</xdr:rowOff>
    </xdr:from>
    <xdr:to>
      <xdr:col>12</xdr:col>
      <xdr:colOff>133350</xdr:colOff>
      <xdr:row>24</xdr:row>
      <xdr:rowOff>174624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9E384E-891E-B517-2A3E-0647366792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2521" y="2397124"/>
              <a:ext cx="4092579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D213-D3FE-4209-8B61-612B8093FF0A}">
  <dimension ref="A1:I24"/>
  <sheetViews>
    <sheetView tabSelected="1" topLeftCell="A11" workbookViewId="0">
      <selection activeCell="H3" sqref="H3"/>
    </sheetView>
  </sheetViews>
  <sheetFormatPr defaultRowHeight="15" x14ac:dyDescent="0.25"/>
  <cols>
    <col min="8" max="8" width="12" bestFit="1" customWidth="1"/>
    <col min="9" max="9" width="11.28515625" customWidth="1"/>
  </cols>
  <sheetData>
    <row r="1" spans="1:9" x14ac:dyDescent="0.25">
      <c r="A1" t="s">
        <v>0</v>
      </c>
    </row>
    <row r="2" spans="1:9" x14ac:dyDescent="0.25">
      <c r="B2" t="s">
        <v>2</v>
      </c>
      <c r="C2" t="s">
        <v>3</v>
      </c>
      <c r="D2" t="s">
        <v>4</v>
      </c>
      <c r="E2" t="s">
        <v>5</v>
      </c>
      <c r="H2" t="s">
        <v>6</v>
      </c>
      <c r="I2" t="s">
        <v>0</v>
      </c>
    </row>
    <row r="3" spans="1:9" x14ac:dyDescent="0.25">
      <c r="A3">
        <v>2015</v>
      </c>
      <c r="B3">
        <v>32392426.445660301</v>
      </c>
      <c r="C3">
        <v>131900000</v>
      </c>
      <c r="D3">
        <v>-14213762.327028999</v>
      </c>
      <c r="E3">
        <v>113721335.881368</v>
      </c>
      <c r="G3">
        <v>2015</v>
      </c>
      <c r="H3">
        <f>B15/10^6</f>
        <v>20.208962782233399</v>
      </c>
      <c r="I3">
        <f>B3/10^6</f>
        <v>32.392426445660298</v>
      </c>
    </row>
    <row r="4" spans="1:9" x14ac:dyDescent="0.25">
      <c r="A4">
        <v>2016</v>
      </c>
      <c r="B4">
        <v>30159053.572546501</v>
      </c>
      <c r="C4">
        <v>131960000</v>
      </c>
      <c r="D4">
        <v>-10966905.060886901</v>
      </c>
      <c r="E4">
        <v>112767851.48834001</v>
      </c>
      <c r="G4">
        <v>2016</v>
      </c>
      <c r="H4">
        <f>B16/10^6</f>
        <v>10.277210667175099</v>
      </c>
      <c r="I4">
        <f>B4/10^6</f>
        <v>30.159053572546501</v>
      </c>
    </row>
    <row r="5" spans="1:9" x14ac:dyDescent="0.25">
      <c r="A5">
        <v>2017</v>
      </c>
      <c r="B5">
        <v>34233813.792030998</v>
      </c>
      <c r="C5">
        <v>131895499.5839</v>
      </c>
      <c r="D5">
        <v>-13063067.624003099</v>
      </c>
      <c r="E5">
        <v>110724753.41587199</v>
      </c>
      <c r="G5">
        <v>2017</v>
      </c>
      <c r="H5">
        <f>B17/10^6</f>
        <v>25.962624777462697</v>
      </c>
      <c r="I5">
        <f>B5/10^6</f>
        <v>34.233813792031</v>
      </c>
    </row>
    <row r="6" spans="1:9" x14ac:dyDescent="0.25">
      <c r="A6">
        <v>2018</v>
      </c>
      <c r="B6">
        <v>33328156.760291401</v>
      </c>
      <c r="C6">
        <v>131900000</v>
      </c>
      <c r="D6">
        <v>-10068885.4963392</v>
      </c>
      <c r="E6">
        <v>108640728.736047</v>
      </c>
      <c r="G6">
        <v>2018</v>
      </c>
      <c r="H6">
        <f>B18/10^6</f>
        <v>26.3652876589464</v>
      </c>
      <c r="I6">
        <f>B6/10^6</f>
        <v>33.3281567602914</v>
      </c>
    </row>
    <row r="7" spans="1:9" x14ac:dyDescent="0.25">
      <c r="A7">
        <v>2019</v>
      </c>
      <c r="B7">
        <v>31983130.863974601</v>
      </c>
      <c r="C7">
        <v>131900000</v>
      </c>
      <c r="D7">
        <v>-13860298.568679599</v>
      </c>
      <c r="E7">
        <v>113777167.704705</v>
      </c>
      <c r="G7">
        <v>2019</v>
      </c>
      <c r="H7">
        <f>B19/10^6</f>
        <v>17.476883436737399</v>
      </c>
      <c r="I7">
        <f>B7/10^6</f>
        <v>31.983130863974601</v>
      </c>
    </row>
    <row r="8" spans="1:9" x14ac:dyDescent="0.25">
      <c r="A8">
        <v>2020</v>
      </c>
      <c r="B8">
        <v>31625907.346654799</v>
      </c>
      <c r="C8">
        <v>131918425.453059</v>
      </c>
      <c r="D8">
        <v>-6191447.7308899797</v>
      </c>
      <c r="E8">
        <v>106483965.837294</v>
      </c>
      <c r="G8">
        <v>2020</v>
      </c>
      <c r="H8">
        <f>B20/10^6</f>
        <v>10.188001881554799</v>
      </c>
      <c r="I8">
        <f>B8/10^6</f>
        <v>31.625907346654799</v>
      </c>
    </row>
    <row r="9" spans="1:9" x14ac:dyDescent="0.25">
      <c r="A9">
        <v>2021</v>
      </c>
      <c r="B9">
        <v>53842392.553127199</v>
      </c>
      <c r="C9">
        <v>131900000</v>
      </c>
      <c r="D9">
        <v>-32856355.268045101</v>
      </c>
      <c r="E9">
        <v>110913962.714917</v>
      </c>
      <c r="G9">
        <v>2021</v>
      </c>
      <c r="H9">
        <f>B21/10^6</f>
        <v>107.125180023057</v>
      </c>
      <c r="I9">
        <f>B9/10^6</f>
        <v>53.842392553127198</v>
      </c>
    </row>
    <row r="10" spans="1:9" x14ac:dyDescent="0.25">
      <c r="A10">
        <v>2022</v>
      </c>
      <c r="B10">
        <v>57930897.869474702</v>
      </c>
      <c r="C10">
        <v>131900000</v>
      </c>
      <c r="D10">
        <v>-35155336.961587802</v>
      </c>
      <c r="E10">
        <v>109124439.092113</v>
      </c>
      <c r="G10">
        <v>2022</v>
      </c>
      <c r="H10">
        <f>B22/10^6</f>
        <v>139.74236976332799</v>
      </c>
      <c r="I10">
        <f>B10/10^6</f>
        <v>57.930897869474698</v>
      </c>
    </row>
    <row r="11" spans="1:9" x14ac:dyDescent="0.25">
      <c r="A11">
        <v>2023</v>
      </c>
      <c r="B11">
        <v>37195237.578029901</v>
      </c>
      <c r="C11">
        <v>131900000</v>
      </c>
      <c r="D11">
        <v>-15112563.415761299</v>
      </c>
      <c r="E11">
        <v>109817325.837731</v>
      </c>
      <c r="G11">
        <v>2023</v>
      </c>
      <c r="H11">
        <f>B23/10^6</f>
        <v>51.764373396720202</v>
      </c>
      <c r="I11">
        <f>B11/10^6</f>
        <v>37.195237578029904</v>
      </c>
    </row>
    <row r="12" spans="1:9" x14ac:dyDescent="0.25">
      <c r="A12">
        <v>2024</v>
      </c>
      <c r="B12">
        <v>36054851.629665501</v>
      </c>
      <c r="C12">
        <v>131960000</v>
      </c>
      <c r="D12">
        <v>-17340408.731833301</v>
      </c>
      <c r="E12">
        <v>113245557.102167</v>
      </c>
      <c r="G12">
        <v>2024</v>
      </c>
      <c r="H12">
        <f>B24/10^6</f>
        <v>34.957417380665802</v>
      </c>
      <c r="I12">
        <f>B12/10^6</f>
        <v>36.0548516296655</v>
      </c>
    </row>
    <row r="13" spans="1:9" x14ac:dyDescent="0.25">
      <c r="A13" t="s">
        <v>1</v>
      </c>
    </row>
    <row r="14" spans="1:9" x14ac:dyDescent="0.25">
      <c r="B14" t="s">
        <v>2</v>
      </c>
      <c r="C14" t="s">
        <v>3</v>
      </c>
      <c r="D14" t="s">
        <v>4</v>
      </c>
      <c r="E14" t="s">
        <v>5</v>
      </c>
    </row>
    <row r="15" spans="1:9" x14ac:dyDescent="0.25">
      <c r="A15">
        <v>2015</v>
      </c>
      <c r="B15">
        <v>20208962.782233398</v>
      </c>
      <c r="C15">
        <v>131900000</v>
      </c>
      <c r="D15">
        <v>-50991719.422694899</v>
      </c>
      <c r="E15">
        <v>162682756.640461</v>
      </c>
    </row>
    <row r="16" spans="1:9" x14ac:dyDescent="0.25">
      <c r="A16">
        <v>2016</v>
      </c>
      <c r="B16">
        <v>10277210.667175099</v>
      </c>
      <c r="C16">
        <v>131960000</v>
      </c>
      <c r="D16">
        <v>-40144380.840278499</v>
      </c>
      <c r="E16">
        <v>161827170.173103</v>
      </c>
    </row>
    <row r="17" spans="1:5" x14ac:dyDescent="0.25">
      <c r="A17">
        <v>2017</v>
      </c>
      <c r="B17">
        <v>25962624.777462699</v>
      </c>
      <c r="C17">
        <v>131897506.881887</v>
      </c>
      <c r="D17">
        <v>-52279691.701947197</v>
      </c>
      <c r="E17">
        <v>158214573.806371</v>
      </c>
    </row>
    <row r="18" spans="1:5" x14ac:dyDescent="0.25">
      <c r="A18">
        <v>2018</v>
      </c>
      <c r="B18">
        <v>26365287.658946399</v>
      </c>
      <c r="C18">
        <v>131899999.999999</v>
      </c>
      <c r="D18">
        <v>-51703738.374653302</v>
      </c>
      <c r="E18">
        <v>157238450.71570599</v>
      </c>
    </row>
    <row r="19" spans="1:5" x14ac:dyDescent="0.25">
      <c r="A19">
        <v>2019</v>
      </c>
      <c r="B19">
        <v>17476883.4367374</v>
      </c>
      <c r="C19">
        <v>131900000</v>
      </c>
      <c r="D19">
        <v>-50745215.798851497</v>
      </c>
      <c r="E19">
        <v>165168332.36211401</v>
      </c>
    </row>
    <row r="20" spans="1:5" x14ac:dyDescent="0.25">
      <c r="A20">
        <v>2020</v>
      </c>
      <c r="B20">
        <v>10188001.881554799</v>
      </c>
      <c r="C20">
        <v>131930948.278248</v>
      </c>
      <c r="D20">
        <v>-31285217.8212035</v>
      </c>
      <c r="E20">
        <v>153028164.217897</v>
      </c>
    </row>
    <row r="21" spans="1:5" x14ac:dyDescent="0.25">
      <c r="A21">
        <v>2021</v>
      </c>
      <c r="B21">
        <v>107125180.023057</v>
      </c>
      <c r="C21">
        <v>131899999.999999</v>
      </c>
      <c r="D21">
        <v>-135464192.22610399</v>
      </c>
      <c r="E21">
        <v>160239012.20304599</v>
      </c>
    </row>
    <row r="22" spans="1:5" x14ac:dyDescent="0.25">
      <c r="A22">
        <v>2022</v>
      </c>
      <c r="B22">
        <v>139742369.76332799</v>
      </c>
      <c r="C22">
        <v>131899999.999999</v>
      </c>
      <c r="D22">
        <v>-165293074.91297001</v>
      </c>
      <c r="E22">
        <v>157450705.14964199</v>
      </c>
    </row>
    <row r="23" spans="1:5" x14ac:dyDescent="0.25">
      <c r="A23">
        <v>2023</v>
      </c>
      <c r="B23">
        <v>51764373.396720201</v>
      </c>
      <c r="C23">
        <v>131900000</v>
      </c>
      <c r="D23">
        <v>-77842853.214145496</v>
      </c>
      <c r="E23">
        <v>157978479.81742501</v>
      </c>
    </row>
    <row r="24" spans="1:5" x14ac:dyDescent="0.25">
      <c r="A24">
        <v>2024</v>
      </c>
      <c r="B24">
        <v>34957417.380665801</v>
      </c>
      <c r="C24">
        <v>131960000</v>
      </c>
      <c r="D24">
        <v>-68502313.131759405</v>
      </c>
      <c r="E24">
        <v>165504895.751093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2026-06-01T07:38:30Z</dcterms:created>
  <dcterms:modified xsi:type="dcterms:W3CDTF">2026-06-01T10:09:39Z</dcterms:modified>
</cp:coreProperties>
</file>