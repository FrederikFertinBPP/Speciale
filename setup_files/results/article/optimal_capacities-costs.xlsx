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setup_files/results/article/"/>
    </mc:Choice>
  </mc:AlternateContent>
  <xr:revisionPtr revIDLastSave="84" documentId="8_{1FAE85B6-08C4-4AA3-9DF5-994695027715}" xr6:coauthVersionLast="47" xr6:coauthVersionMax="47" xr10:uidLastSave="{AC2E6665-1F8A-42E8-9601-6FBD7A2AAA56}"/>
  <bookViews>
    <workbookView xWindow="-120" yWindow="-120" windowWidth="29040" windowHeight="15720" activeTab="1" xr2:uid="{2D129B93-0C0F-4425-9A2C-88D59FB1FAE9}"/>
  </bookViews>
  <sheets>
    <sheet name="optimal_capacities-cvar_alpha_0" sheetId="1" r:id="rId1"/>
    <sheet name="risk-neutral" sheetId="2" r:id="rId2"/>
    <sheet name="Sheet1" sheetId="3" r:id="rId3"/>
    <sheet name="Sheet3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8" i="2"/>
  <c r="H8" i="2" s="1"/>
  <c r="I8" i="2" s="1"/>
  <c r="G7" i="2"/>
  <c r="G6" i="2"/>
  <c r="H6" i="2" s="1"/>
  <c r="I6" i="2" s="1"/>
  <c r="G5" i="2"/>
  <c r="G4" i="2"/>
  <c r="G3" i="2"/>
  <c r="G2" i="2"/>
  <c r="G9" i="1"/>
  <c r="G8" i="1"/>
  <c r="G7" i="1"/>
  <c r="G6" i="1"/>
  <c r="G5" i="1"/>
  <c r="G4" i="1"/>
  <c r="G3" i="1"/>
  <c r="G2" i="1"/>
  <c r="F2" i="1"/>
  <c r="F3" i="1"/>
  <c r="F4" i="1"/>
  <c r="F5" i="1"/>
  <c r="F6" i="1"/>
  <c r="F7" i="1"/>
  <c r="F8" i="1"/>
  <c r="F9" i="1"/>
  <c r="I14" i="5"/>
  <c r="I13" i="5"/>
  <c r="I12" i="5"/>
  <c r="E17" i="5" s="1"/>
  <c r="E18" i="5" s="1"/>
  <c r="F9" i="5"/>
  <c r="G9" i="5" s="1"/>
  <c r="H9" i="5" s="1"/>
  <c r="I9" i="5" s="1"/>
  <c r="E9" i="5"/>
  <c r="K9" i="5" s="1"/>
  <c r="D9" i="5"/>
  <c r="J9" i="5" s="1"/>
  <c r="F8" i="5"/>
  <c r="G8" i="5" s="1"/>
  <c r="H8" i="5" s="1"/>
  <c r="I8" i="5" s="1"/>
  <c r="E8" i="5"/>
  <c r="K8" i="5" s="1"/>
  <c r="D8" i="5"/>
  <c r="J8" i="5" s="1"/>
  <c r="F7" i="5"/>
  <c r="G7" i="5" s="1"/>
  <c r="H7" i="5" s="1"/>
  <c r="I7" i="5" s="1"/>
  <c r="E7" i="5"/>
  <c r="K7" i="5" s="1"/>
  <c r="D7" i="5"/>
  <c r="J7" i="5" s="1"/>
  <c r="F6" i="5"/>
  <c r="G6" i="5" s="1"/>
  <c r="H6" i="5" s="1"/>
  <c r="I6" i="5" s="1"/>
  <c r="E6" i="5"/>
  <c r="K6" i="5" s="1"/>
  <c r="D6" i="5"/>
  <c r="J6" i="5" s="1"/>
  <c r="F5" i="5"/>
  <c r="G5" i="5" s="1"/>
  <c r="H5" i="5" s="1"/>
  <c r="I5" i="5" s="1"/>
  <c r="E5" i="5"/>
  <c r="K5" i="5" s="1"/>
  <c r="D5" i="5"/>
  <c r="J5" i="5" s="1"/>
  <c r="F4" i="5"/>
  <c r="G4" i="5" s="1"/>
  <c r="H4" i="5" s="1"/>
  <c r="I4" i="5" s="1"/>
  <c r="E4" i="5"/>
  <c r="K4" i="5" s="1"/>
  <c r="D4" i="5"/>
  <c r="J4" i="5" s="1"/>
  <c r="F3" i="5"/>
  <c r="G3" i="5" s="1"/>
  <c r="H3" i="5" s="1"/>
  <c r="I3" i="5" s="1"/>
  <c r="E3" i="5"/>
  <c r="K3" i="5" s="1"/>
  <c r="D3" i="5"/>
  <c r="J3" i="5" s="1"/>
  <c r="F2" i="5"/>
  <c r="G2" i="5" s="1"/>
  <c r="H2" i="5" s="1"/>
  <c r="I2" i="5" s="1"/>
  <c r="E2" i="5"/>
  <c r="K2" i="5" s="1"/>
  <c r="D2" i="5"/>
  <c r="J2" i="5" s="1"/>
  <c r="K9" i="1"/>
  <c r="K8" i="1"/>
  <c r="K7" i="1"/>
  <c r="K6" i="1"/>
  <c r="K5" i="1"/>
  <c r="K4" i="1"/>
  <c r="K3" i="1"/>
  <c r="K2" i="1"/>
  <c r="K9" i="2"/>
  <c r="K8" i="2"/>
  <c r="K7" i="2"/>
  <c r="K6" i="2"/>
  <c r="K5" i="2"/>
  <c r="K4" i="2"/>
  <c r="K3" i="2"/>
  <c r="K2" i="2"/>
  <c r="D20" i="3"/>
  <c r="K3" i="3"/>
  <c r="K4" i="3"/>
  <c r="K5" i="3"/>
  <c r="K6" i="3"/>
  <c r="K7" i="3"/>
  <c r="K8" i="3"/>
  <c r="K9" i="3"/>
  <c r="K2" i="3"/>
  <c r="I2" i="3"/>
  <c r="D17" i="3"/>
  <c r="G9" i="3"/>
  <c r="G3" i="3"/>
  <c r="G4" i="3"/>
  <c r="H4" i="3" s="1"/>
  <c r="I4" i="3" s="1"/>
  <c r="G5" i="3"/>
  <c r="G6" i="3"/>
  <c r="G7" i="3"/>
  <c r="G8" i="3"/>
  <c r="G2" i="3"/>
  <c r="E17" i="3"/>
  <c r="E18" i="3" s="1"/>
  <c r="I14" i="3"/>
  <c r="I13" i="3"/>
  <c r="I12" i="3"/>
  <c r="F9" i="3"/>
  <c r="H9" i="3" s="1"/>
  <c r="I9" i="3" s="1"/>
  <c r="E9" i="3"/>
  <c r="D9" i="3"/>
  <c r="J9" i="3" s="1"/>
  <c r="F8" i="3"/>
  <c r="E8" i="3"/>
  <c r="D8" i="3"/>
  <c r="J8" i="3" s="1"/>
  <c r="J7" i="3"/>
  <c r="F7" i="3"/>
  <c r="H7" i="3" s="1"/>
  <c r="I7" i="3" s="1"/>
  <c r="E7" i="3"/>
  <c r="D7" i="3"/>
  <c r="F6" i="3"/>
  <c r="H6" i="3" s="1"/>
  <c r="I6" i="3" s="1"/>
  <c r="E6" i="3"/>
  <c r="D6" i="3"/>
  <c r="J6" i="3" s="1"/>
  <c r="F5" i="3"/>
  <c r="E5" i="3"/>
  <c r="D5" i="3"/>
  <c r="J5" i="3" s="1"/>
  <c r="J4" i="3"/>
  <c r="F4" i="3"/>
  <c r="E4" i="3"/>
  <c r="D4" i="3"/>
  <c r="J3" i="3"/>
  <c r="F3" i="3"/>
  <c r="H3" i="3" s="1"/>
  <c r="I3" i="3" s="1"/>
  <c r="E3" i="3"/>
  <c r="D3" i="3"/>
  <c r="F2" i="3"/>
  <c r="E2" i="3"/>
  <c r="D2" i="3"/>
  <c r="J2" i="3" s="1"/>
  <c r="I12" i="2"/>
  <c r="E17" i="2" s="1"/>
  <c r="E18" i="2" s="1"/>
  <c r="I14" i="2"/>
  <c r="I13" i="2"/>
  <c r="J9" i="2"/>
  <c r="F9" i="2"/>
  <c r="E9" i="2"/>
  <c r="D9" i="2"/>
  <c r="J8" i="2"/>
  <c r="F8" i="2"/>
  <c r="E8" i="2"/>
  <c r="D8" i="2"/>
  <c r="J7" i="2"/>
  <c r="F7" i="2"/>
  <c r="E7" i="2"/>
  <c r="D7" i="2"/>
  <c r="J6" i="2"/>
  <c r="F6" i="2"/>
  <c r="E6" i="2"/>
  <c r="D6" i="2"/>
  <c r="F5" i="2"/>
  <c r="E5" i="2"/>
  <c r="D5" i="2"/>
  <c r="J5" i="2" s="1"/>
  <c r="J4" i="2"/>
  <c r="F4" i="2"/>
  <c r="E4" i="2"/>
  <c r="D4" i="2"/>
  <c r="F3" i="2"/>
  <c r="E3" i="2"/>
  <c r="D3" i="2"/>
  <c r="J3" i="2" s="1"/>
  <c r="F2" i="2"/>
  <c r="E2" i="2"/>
  <c r="D2" i="2"/>
  <c r="J2" i="2" s="1"/>
  <c r="C3" i="1"/>
  <c r="H3" i="2" l="1"/>
  <c r="I3" i="2" s="1"/>
  <c r="H5" i="2"/>
  <c r="I5" i="2" s="1"/>
  <c r="H9" i="2"/>
  <c r="I9" i="2" s="1"/>
  <c r="H2" i="2"/>
  <c r="I2" i="2" s="1"/>
  <c r="H7" i="2"/>
  <c r="I7" i="2" s="1"/>
  <c r="H4" i="2"/>
  <c r="I4" i="2" s="1"/>
  <c r="D17" i="5"/>
  <c r="H5" i="3"/>
  <c r="I5" i="3" s="1"/>
  <c r="H8" i="3"/>
  <c r="I8" i="3" s="1"/>
  <c r="H2" i="3"/>
  <c r="D18" i="3" s="1"/>
  <c r="I12" i="1"/>
  <c r="E17" i="1" s="1"/>
  <c r="E18" i="1" s="1"/>
  <c r="I13" i="1"/>
  <c r="I14" i="1"/>
  <c r="H3" i="1"/>
  <c r="I3" i="1" s="1"/>
  <c r="H4" i="1"/>
  <c r="I4" i="1" s="1"/>
  <c r="H5" i="1"/>
  <c r="I5" i="1" s="1"/>
  <c r="H6" i="1"/>
  <c r="I6" i="1" s="1"/>
  <c r="E3" i="1"/>
  <c r="E4" i="1"/>
  <c r="E5" i="1"/>
  <c r="E6" i="1"/>
  <c r="E7" i="1"/>
  <c r="E8" i="1"/>
  <c r="E9" i="1"/>
  <c r="D9" i="1"/>
  <c r="J9" i="1" s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E2" i="1"/>
  <c r="D2" i="1"/>
  <c r="J2" i="1" s="1"/>
  <c r="D17" i="2" l="1"/>
  <c r="D18" i="2" s="1"/>
  <c r="D20" i="5"/>
  <c r="D18" i="5"/>
  <c r="H2" i="1"/>
  <c r="I2" i="1" s="1"/>
  <c r="H9" i="1"/>
  <c r="I9" i="1" s="1"/>
  <c r="H8" i="1"/>
  <c r="I8" i="1" s="1"/>
  <c r="H7" i="1"/>
  <c r="I7" i="1" s="1"/>
  <c r="D17" i="1"/>
  <c r="D20" i="2" l="1"/>
  <c r="H23" i="2" s="1"/>
  <c r="D18" i="1"/>
  <c r="D20" i="1"/>
</calcChain>
</file>

<file path=xl/sharedStrings.xml><?xml version="1.0" encoding="utf-8"?>
<sst xmlns="http://schemas.openxmlformats.org/spreadsheetml/2006/main" count="179" uniqueCount="36">
  <si>
    <t>component</t>
  </si>
  <si>
    <t>type</t>
  </si>
  <si>
    <t>optimal_capacity</t>
  </si>
  <si>
    <t>Hydrogen Storage</t>
  </si>
  <si>
    <t>storage</t>
  </si>
  <si>
    <t>Ammonia Storage</t>
  </si>
  <si>
    <t>ElectricitySpot</t>
  </si>
  <si>
    <t>dayahead</t>
  </si>
  <si>
    <t>Grid Connection Point</t>
  </si>
  <si>
    <t>link</t>
  </si>
  <si>
    <t>Electrolyzer</t>
  </si>
  <si>
    <t>Haber Bosch Plant</t>
  </si>
  <si>
    <t>Hydrogen Pipeline</t>
  </si>
  <si>
    <t>offtaker</t>
  </si>
  <si>
    <t>Ammonia Shipment</t>
  </si>
  <si>
    <t>SolarPower</t>
  </si>
  <si>
    <t>ppa</t>
  </si>
  <si>
    <t>WindPower</t>
  </si>
  <si>
    <t>HydroPower</t>
  </si>
  <si>
    <t>capital_on</t>
  </si>
  <si>
    <t>fixed</t>
  </si>
  <si>
    <t>lifetime</t>
  </si>
  <si>
    <t>af</t>
  </si>
  <si>
    <t>capex</t>
  </si>
  <si>
    <t>capex_pu</t>
  </si>
  <si>
    <t>Dicsount factor</t>
  </si>
  <si>
    <t>Total CAPEX</t>
  </si>
  <si>
    <t>PPA</t>
  </si>
  <si>
    <t>cost</t>
  </si>
  <si>
    <t>exp_cf</t>
  </si>
  <si>
    <t>price</t>
  </si>
  <si>
    <t>Total PPA cost</t>
  </si>
  <si>
    <t>capital_cost</t>
  </si>
  <si>
    <t>fixed_costs</t>
  </si>
  <si>
    <t>All fixed annual costs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</si>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</sst>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CAPEX and Fixed 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'optimal_capacities-cvar_alpha_0'!$I$1</c:f>
              <c:strCache>
                <c:ptCount val="1"/>
                <c:pt idx="0">
                  <c:v>capex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0C-416B-9EDC-31B2DB1C4B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0C-416B-9EDC-31B2DB1C4B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0C-416B-9EDC-31B2DB1C4B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0C-416B-9EDC-31B2DB1C4B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0C-416B-9EDC-31B2DB1C4B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('optimal_capacities-cvar_alpha_0'!$A$2:$A$3,'optimal_capacities-cvar_alpha_0'!$A$5:$A$7)</c:f>
              <c:strCache>
                <c:ptCount val="5"/>
                <c:pt idx="0">
                  <c:v>Hydrogen Storage</c:v>
                </c:pt>
                <c:pt idx="1">
                  <c:v>Ammonia Storage</c:v>
                </c:pt>
                <c:pt idx="2">
                  <c:v>Grid Connection Point</c:v>
                </c:pt>
                <c:pt idx="3">
                  <c:v>Electrolyzer</c:v>
                </c:pt>
                <c:pt idx="4">
                  <c:v>Haber Bosch Plant</c:v>
                </c:pt>
              </c:strCache>
            </c:strRef>
          </c:cat>
          <c:val>
            <c:numRef>
              <c:f>('optimal_capacities-cvar_alpha_0'!$I$2:$I$3,'optimal_capacities-cvar_alpha_0'!$I$5:$I$7)</c:f>
              <c:numCache>
                <c:formatCode>General</c:formatCode>
                <c:ptCount val="5"/>
                <c:pt idx="0">
                  <c:v>149665.6093333553</c:v>
                </c:pt>
                <c:pt idx="1">
                  <c:v>3332865.4482554132</c:v>
                </c:pt>
                <c:pt idx="2">
                  <c:v>1107332.4891447295</c:v>
                </c:pt>
                <c:pt idx="3">
                  <c:v>13693155.066805109</c:v>
                </c:pt>
                <c:pt idx="4">
                  <c:v>4589447.6742570316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B-42FD-9CED-0A4740669F9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2</xdr:row>
      <xdr:rowOff>3175</xdr:rowOff>
    </xdr:from>
    <xdr:to>
      <xdr:col>16</xdr:col>
      <xdr:colOff>22225</xdr:colOff>
      <xdr:row>16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7E36D-A45D-2A34-8ADE-715AC74FD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rticle_with_bess.xlsx" TargetMode="External"/><Relationship Id="rId2" Type="http://schemas.openxmlformats.org/officeDocument/2006/relationships/externalLinkPath" Target="https://dtudk-my.sharepoint.com/personal/fskfe_dtu_dk/Documents/Dokumenter/DTU_Man/Speciale/setup_files/article_with_bess.xlsx" TargetMode="External"/><Relationship Id="rId1" Type="http://schemas.openxmlformats.org/officeDocument/2006/relationships/externalLinkPath" Target="/personal/fskfe_dtu_dk/Documents/Dokumenter/DTU_Man/Speciale/setup_files/article_with_b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enarios"/>
      <sheetName val="Carriers"/>
      <sheetName val="Components"/>
      <sheetName val="Contracts"/>
      <sheetName val="PPAs"/>
      <sheetName val="Annual Contract Summaries"/>
    </sheetNames>
    <sheetDataSet>
      <sheetData sheetId="0"/>
      <sheetData sheetId="1"/>
      <sheetData sheetId="2">
        <row r="2">
          <cell r="Q2">
            <v>0</v>
          </cell>
          <cell r="R2">
            <v>0</v>
          </cell>
          <cell r="S2">
            <v>50</v>
          </cell>
        </row>
        <row r="3">
          <cell r="Q3">
            <v>75000</v>
          </cell>
          <cell r="R3">
            <v>0</v>
          </cell>
          <cell r="S3">
            <v>25</v>
          </cell>
        </row>
        <row r="6">
          <cell r="Q6">
            <v>56467000</v>
          </cell>
          <cell r="R6">
            <v>1129000</v>
          </cell>
          <cell r="S6">
            <v>25</v>
          </cell>
        </row>
        <row r="7">
          <cell r="Q7">
            <v>0</v>
          </cell>
          <cell r="R7">
            <v>0</v>
          </cell>
          <cell r="S7">
            <v>40</v>
          </cell>
        </row>
        <row r="8">
          <cell r="Q8">
            <v>461000</v>
          </cell>
          <cell r="R8">
            <v>1000</v>
          </cell>
          <cell r="S8">
            <v>25</v>
          </cell>
        </row>
        <row r="9">
          <cell r="Q9">
            <v>4192000</v>
          </cell>
          <cell r="R9">
            <v>436000</v>
          </cell>
          <cell r="S9">
            <v>25</v>
          </cell>
        </row>
        <row r="10">
          <cell r="Q10">
            <v>5000</v>
          </cell>
          <cell r="R10">
            <v>0</v>
          </cell>
          <cell r="S10">
            <v>25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7B9D-133C-4530-A4D9-4BBBBE0E5FCC}">
  <dimension ref="A1:K20"/>
  <sheetViews>
    <sheetView topLeftCell="A11" workbookViewId="0">
      <selection activeCell="G2" sqref="G2:G9"/>
    </sheetView>
  </sheetViews>
  <sheetFormatPr defaultRowHeight="15" x14ac:dyDescent="0.25"/>
  <cols>
    <col min="1" max="1" width="21.7109375" customWidth="1"/>
    <col min="3" max="3" width="12" bestFit="1" customWidth="1"/>
    <col min="5" max="5" width="12" bestFit="1" customWidth="1"/>
    <col min="10" max="10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24</v>
      </c>
      <c r="I1" s="1" t="s">
        <v>23</v>
      </c>
      <c r="J1" s="1" t="s">
        <v>32</v>
      </c>
      <c r="K1" s="1" t="s">
        <v>33</v>
      </c>
    </row>
    <row r="2" spans="1:11" x14ac:dyDescent="0.25">
      <c r="A2" t="s">
        <v>3</v>
      </c>
      <c r="B2" t="s">
        <v>4</v>
      </c>
      <c r="C2">
        <v>4.5756590051792196</v>
      </c>
      <c r="D2">
        <f>[1]Components!Q$8</f>
        <v>461000</v>
      </c>
      <c r="E2">
        <f>[1]Components!R$8</f>
        <v>1000</v>
      </c>
      <c r="F2">
        <f>[1]Components!S$8</f>
        <v>25</v>
      </c>
      <c r="G2">
        <f>$C$17*(1+$C$17)^F2/((1+$C$17)^F2-1)</f>
        <v>7.0952457299229624E-2</v>
      </c>
      <c r="H2">
        <f>G2*D2</f>
        <v>32709.082814944857</v>
      </c>
      <c r="I2">
        <f>H2*C2</f>
        <v>149665.6093333553</v>
      </c>
      <c r="J2">
        <f>C2*D2</f>
        <v>2109378.8013876202</v>
      </c>
      <c r="K2">
        <f>E2*C2</f>
        <v>4575.65900517922</v>
      </c>
    </row>
    <row r="3" spans="1:11" x14ac:dyDescent="0.25">
      <c r="A3" t="s">
        <v>5</v>
      </c>
      <c r="B3" t="s">
        <v>4</v>
      </c>
      <c r="C3">
        <f>9394.64417475954</f>
        <v>9394.64417475954</v>
      </c>
      <c r="D3">
        <f>[1]Components!Q$10</f>
        <v>5000</v>
      </c>
      <c r="E3">
        <f>[1]Components!R$10</f>
        <v>0</v>
      </c>
      <c r="F3">
        <f>[1]Components!S$10</f>
        <v>25</v>
      </c>
      <c r="G3">
        <f t="shared" ref="G3:G8" si="0">$C$17*(1+$C$17)^F3/((1+$C$17)^F3-1)</f>
        <v>7.0952457299229624E-2</v>
      </c>
      <c r="H3">
        <f t="shared" ref="H3:H9" si="1">G3*D3</f>
        <v>354.76228649614814</v>
      </c>
      <c r="I3">
        <f t="shared" ref="I3:I9" si="2">H3*C3</f>
        <v>3332865.4482554132</v>
      </c>
      <c r="J3">
        <f t="shared" ref="J3:J9" si="3">C3*D3</f>
        <v>46973220.8737977</v>
      </c>
      <c r="K3">
        <f t="shared" ref="K3:K9" si="4">E3*C3</f>
        <v>0</v>
      </c>
    </row>
    <row r="4" spans="1:11" x14ac:dyDescent="0.25">
      <c r="A4" t="s">
        <v>6</v>
      </c>
      <c r="B4" t="s">
        <v>7</v>
      </c>
      <c r="C4">
        <v>976.9</v>
      </c>
      <c r="D4">
        <f>[1]Components!Q$2</f>
        <v>0</v>
      </c>
      <c r="E4">
        <f>[1]Components!R$2</f>
        <v>0</v>
      </c>
      <c r="F4">
        <f>[1]Components!S$2</f>
        <v>50</v>
      </c>
      <c r="G4">
        <f t="shared" si="0"/>
        <v>5.4776735485736472E-2</v>
      </c>
      <c r="H4">
        <f t="shared" si="1"/>
        <v>0</v>
      </c>
      <c r="I4">
        <f t="shared" si="2"/>
        <v>0</v>
      </c>
      <c r="J4">
        <f t="shared" si="3"/>
        <v>0</v>
      </c>
      <c r="K4">
        <f t="shared" si="4"/>
        <v>0</v>
      </c>
    </row>
    <row r="5" spans="1:11" x14ac:dyDescent="0.25">
      <c r="A5" t="s">
        <v>8</v>
      </c>
      <c r="B5" t="s">
        <v>9</v>
      </c>
      <c r="C5">
        <v>208.08910290914901</v>
      </c>
      <c r="D5">
        <f>[1]Components!Q$3</f>
        <v>75000</v>
      </c>
      <c r="E5">
        <f>[1]Components!R$3</f>
        <v>0</v>
      </c>
      <c r="F5">
        <f>[1]Components!S$3</f>
        <v>25</v>
      </c>
      <c r="G5">
        <f t="shared" si="0"/>
        <v>7.0952457299229624E-2</v>
      </c>
      <c r="H5">
        <f t="shared" si="1"/>
        <v>5321.4342974422216</v>
      </c>
      <c r="I5">
        <f t="shared" si="2"/>
        <v>1107332.4891447295</v>
      </c>
      <c r="J5">
        <f t="shared" si="3"/>
        <v>15606682.718186175</v>
      </c>
      <c r="K5">
        <f t="shared" si="4"/>
        <v>0</v>
      </c>
    </row>
    <row r="6" spans="1:11" x14ac:dyDescent="0.25">
      <c r="A6" t="s">
        <v>10</v>
      </c>
      <c r="B6" t="s">
        <v>9</v>
      </c>
      <c r="C6">
        <v>3.4177584862982999</v>
      </c>
      <c r="D6">
        <f>[1]Components!Q$6</f>
        <v>56467000</v>
      </c>
      <c r="E6">
        <f>[1]Components!R$6</f>
        <v>1129000</v>
      </c>
      <c r="F6">
        <f>[1]Components!S$6</f>
        <v>25</v>
      </c>
      <c r="G6">
        <f t="shared" si="0"/>
        <v>7.0952457299229624E-2</v>
      </c>
      <c r="H6">
        <f t="shared" si="1"/>
        <v>4006472.4063155991</v>
      </c>
      <c r="I6">
        <f t="shared" si="2"/>
        <v>13693155.066805109</v>
      </c>
      <c r="J6">
        <f t="shared" si="3"/>
        <v>192990568.44580612</v>
      </c>
      <c r="K6">
        <f t="shared" si="4"/>
        <v>3858649.3310307804</v>
      </c>
    </row>
    <row r="7" spans="1:11" x14ac:dyDescent="0.25">
      <c r="A7" t="s">
        <v>11</v>
      </c>
      <c r="B7" t="s">
        <v>9</v>
      </c>
      <c r="C7">
        <v>15.430205417400201</v>
      </c>
      <c r="D7">
        <f>[1]Components!Q$9</f>
        <v>4192000</v>
      </c>
      <c r="E7">
        <f>[1]Components!R$9</f>
        <v>436000</v>
      </c>
      <c r="F7">
        <f>[1]Components!S$9</f>
        <v>25</v>
      </c>
      <c r="G7">
        <f t="shared" si="0"/>
        <v>7.0952457299229624E-2</v>
      </c>
      <c r="H7">
        <f t="shared" si="1"/>
        <v>297432.70099837059</v>
      </c>
      <c r="I7">
        <f t="shared" si="2"/>
        <v>4589447.6742570316</v>
      </c>
      <c r="J7">
        <f t="shared" si="3"/>
        <v>64683421.109741643</v>
      </c>
      <c r="K7">
        <f t="shared" si="4"/>
        <v>6727569.5619864874</v>
      </c>
    </row>
    <row r="8" spans="1:11" x14ac:dyDescent="0.25">
      <c r="A8" t="s">
        <v>12</v>
      </c>
      <c r="B8" t="s">
        <v>13</v>
      </c>
      <c r="C8">
        <v>2</v>
      </c>
      <c r="D8">
        <f>[1]Components!Q$7</f>
        <v>0</v>
      </c>
      <c r="E8">
        <f>[1]Components!R$7</f>
        <v>0</v>
      </c>
      <c r="F8">
        <f>[1]Components!S$7</f>
        <v>40</v>
      </c>
      <c r="G8">
        <f t="shared" si="0"/>
        <v>5.8278161166035E-2</v>
      </c>
      <c r="H8">
        <f t="shared" si="1"/>
        <v>0</v>
      </c>
      <c r="I8">
        <f t="shared" si="2"/>
        <v>0</v>
      </c>
      <c r="J8">
        <f t="shared" si="3"/>
        <v>0</v>
      </c>
      <c r="K8">
        <f t="shared" si="4"/>
        <v>0</v>
      </c>
    </row>
    <row r="9" spans="1:11" x14ac:dyDescent="0.25">
      <c r="A9" t="s">
        <v>14</v>
      </c>
      <c r="B9" t="s">
        <v>13</v>
      </c>
      <c r="C9">
        <v>30000</v>
      </c>
      <c r="D9">
        <f>[1]Components!Q$7</f>
        <v>0</v>
      </c>
      <c r="E9">
        <f>[1]Components!R$7</f>
        <v>0</v>
      </c>
      <c r="F9">
        <f>[1]Components!S$7</f>
        <v>40</v>
      </c>
      <c r="G9">
        <f>$C$17*(1+$C$17)^F9/((1+$C$17)^F9-1)</f>
        <v>5.8278161166035E-2</v>
      </c>
      <c r="H9">
        <f t="shared" si="1"/>
        <v>0</v>
      </c>
      <c r="I9">
        <f t="shared" si="2"/>
        <v>0</v>
      </c>
      <c r="J9">
        <f t="shared" si="3"/>
        <v>0</v>
      </c>
      <c r="K9">
        <f t="shared" si="4"/>
        <v>0</v>
      </c>
    </row>
    <row r="11" spans="1:11" x14ac:dyDescent="0.25">
      <c r="A11" s="1" t="s">
        <v>27</v>
      </c>
      <c r="B11" s="1" t="s">
        <v>1</v>
      </c>
      <c r="C11" s="1" t="s">
        <v>2</v>
      </c>
      <c r="D11" s="1" t="s">
        <v>30</v>
      </c>
      <c r="E11" s="1"/>
      <c r="F11" s="1"/>
      <c r="G11" s="1"/>
      <c r="H11" s="1" t="s">
        <v>29</v>
      </c>
      <c r="I11" s="1" t="s">
        <v>28</v>
      </c>
    </row>
    <row r="12" spans="1:11" x14ac:dyDescent="0.25">
      <c r="A12" t="s">
        <v>15</v>
      </c>
      <c r="B12" t="s">
        <v>16</v>
      </c>
      <c r="C12">
        <v>258.89999999999998</v>
      </c>
      <c r="D12">
        <v>56.93</v>
      </c>
      <c r="H12">
        <v>0.17</v>
      </c>
      <c r="I12">
        <f>C12*H12*D12*8760</f>
        <v>21949582.3884</v>
      </c>
    </row>
    <row r="13" spans="1:11" x14ac:dyDescent="0.25">
      <c r="A13" t="s">
        <v>17</v>
      </c>
      <c r="B13" t="s">
        <v>16</v>
      </c>
      <c r="C13">
        <v>305.90533623931498</v>
      </c>
      <c r="D13">
        <v>66.819999999999993</v>
      </c>
      <c r="H13">
        <v>0.36399999999999999</v>
      </c>
      <c r="I13">
        <f>C13*H13*D13*8760</f>
        <v>65177697.461748347</v>
      </c>
    </row>
    <row r="14" spans="1:11" x14ac:dyDescent="0.25">
      <c r="A14" t="s">
        <v>18</v>
      </c>
      <c r="B14" t="s">
        <v>16</v>
      </c>
      <c r="C14">
        <v>30.406160882496</v>
      </c>
      <c r="D14">
        <v>91.02</v>
      </c>
      <c r="H14">
        <v>1</v>
      </c>
      <c r="I14">
        <f>C14*H14*D14*8760</f>
        <v>24243902.368477125</v>
      </c>
    </row>
    <row r="16" spans="1:11" x14ac:dyDescent="0.25">
      <c r="C16" t="s">
        <v>25</v>
      </c>
      <c r="D16" t="s">
        <v>26</v>
      </c>
      <c r="E16" t="s">
        <v>31</v>
      </c>
    </row>
    <row r="17" spans="3:5" x14ac:dyDescent="0.25">
      <c r="C17">
        <v>0.05</v>
      </c>
      <c r="D17">
        <f>SUM(I2:I9)</f>
        <v>22872466.287795641</v>
      </c>
      <c r="E17">
        <f>SUM(I12:I14)</f>
        <v>111371182.21862547</v>
      </c>
    </row>
    <row r="18" spans="3:5" x14ac:dyDescent="0.25">
      <c r="D18">
        <f>D17/10^6</f>
        <v>22.872466287795639</v>
      </c>
      <c r="E18">
        <f>E17/10^6</f>
        <v>111.37118221862548</v>
      </c>
    </row>
    <row r="19" spans="3:5" x14ac:dyDescent="0.25">
      <c r="D19" t="s">
        <v>34</v>
      </c>
    </row>
    <row r="20" spans="3:5" x14ac:dyDescent="0.25">
      <c r="D20">
        <f>D17+SUM(K2:K9)</f>
        <v>33463260.839818086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91AC-B9DE-4259-A8D6-5D5251F720A9}">
  <dimension ref="A1:K24"/>
  <sheetViews>
    <sheetView tabSelected="1" workbookViewId="0">
      <selection activeCell="H23" sqref="H23"/>
    </sheetView>
  </sheetViews>
  <sheetFormatPr defaultRowHeight="15" x14ac:dyDescent="0.25"/>
  <cols>
    <col min="3" max="3" width="14.5703125" customWidth="1"/>
    <col min="4" max="4" width="15.5703125" customWidth="1"/>
    <col min="5" max="5" width="15.140625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24</v>
      </c>
      <c r="I1" s="1" t="s">
        <v>23</v>
      </c>
      <c r="J1" s="1" t="s">
        <v>32</v>
      </c>
      <c r="K1" s="1" t="s">
        <v>33</v>
      </c>
    </row>
    <row r="2" spans="1:11" x14ac:dyDescent="0.25">
      <c r="A2" t="s">
        <v>3</v>
      </c>
      <c r="B2" t="s">
        <v>4</v>
      </c>
      <c r="C2">
        <v>5.2053435758792901</v>
      </c>
      <c r="D2">
        <f>[1]Components!Q$8</f>
        <v>461000</v>
      </c>
      <c r="E2">
        <f>[1]Components!R$8</f>
        <v>1000</v>
      </c>
      <c r="F2">
        <f>[1]Components!S$8</f>
        <v>25</v>
      </c>
      <c r="G2">
        <f>$C$17*(1+$C$17)^F2/((1+$C$17)^F2-1)</f>
        <v>0.10028539856244607</v>
      </c>
      <c r="H2">
        <f>G2*D2</f>
        <v>46231.568737287642</v>
      </c>
      <c r="I2">
        <f>H2*C2</f>
        <v>240651.19932946205</v>
      </c>
      <c r="J2">
        <f>C2*D2</f>
        <v>2399663.3884803527</v>
      </c>
      <c r="K2">
        <f>E2*C2</f>
        <v>5205.3435758792903</v>
      </c>
    </row>
    <row r="3" spans="1:11" x14ac:dyDescent="0.25">
      <c r="A3" t="s">
        <v>5</v>
      </c>
      <c r="B3" t="s">
        <v>4</v>
      </c>
      <c r="C3">
        <v>10686.668527489101</v>
      </c>
      <c r="D3">
        <f>[1]Components!Q$10</f>
        <v>5000</v>
      </c>
      <c r="E3">
        <f>[1]Components!R$10</f>
        <v>0</v>
      </c>
      <c r="F3">
        <f>[1]Components!S$10</f>
        <v>25</v>
      </c>
      <c r="G3">
        <f t="shared" ref="G3:G8" si="0">$C$17*(1+$C$17)^F3/((1+$C$17)^F3-1)</f>
        <v>0.10028539856244607</v>
      </c>
      <c r="H3">
        <f t="shared" ref="H3:H9" si="1">G3*D3</f>
        <v>501.42699281223037</v>
      </c>
      <c r="I3">
        <f t="shared" ref="I3:I9" si="2">H3*C3</f>
        <v>5358584.0629199659</v>
      </c>
      <c r="J3">
        <f t="shared" ref="J3:J9" si="3">C3*D3</f>
        <v>53433342.637445502</v>
      </c>
      <c r="K3">
        <f t="shared" ref="K3:K9" si="4">E3*C3</f>
        <v>0</v>
      </c>
    </row>
    <row r="4" spans="1:11" x14ac:dyDescent="0.25">
      <c r="A4" t="s">
        <v>6</v>
      </c>
      <c r="B4" t="s">
        <v>7</v>
      </c>
      <c r="C4">
        <v>976.9</v>
      </c>
      <c r="D4">
        <f>[1]Components!Q$2</f>
        <v>0</v>
      </c>
      <c r="E4">
        <f>[1]Components!R$2</f>
        <v>0</v>
      </c>
      <c r="F4">
        <f>[1]Components!S$2</f>
        <v>50</v>
      </c>
      <c r="G4">
        <f t="shared" si="0"/>
        <v>8.9461064680030289E-2</v>
      </c>
      <c r="H4">
        <f t="shared" si="1"/>
        <v>0</v>
      </c>
      <c r="I4">
        <f t="shared" si="2"/>
        <v>0</v>
      </c>
      <c r="J4">
        <f t="shared" si="3"/>
        <v>0</v>
      </c>
      <c r="K4">
        <f t="shared" si="4"/>
        <v>0</v>
      </c>
    </row>
    <row r="5" spans="1:11" x14ac:dyDescent="0.25">
      <c r="A5" t="s">
        <v>8</v>
      </c>
      <c r="B5" t="s">
        <v>9</v>
      </c>
      <c r="C5">
        <v>211.69974263237</v>
      </c>
      <c r="D5">
        <f>[1]Components!Q$3</f>
        <v>75000</v>
      </c>
      <c r="E5">
        <f>[1]Components!R$3</f>
        <v>0</v>
      </c>
      <c r="F5">
        <f>[1]Components!S$3</f>
        <v>25</v>
      </c>
      <c r="G5">
        <f t="shared" si="0"/>
        <v>0.10028539856244607</v>
      </c>
      <c r="H5">
        <f t="shared" si="1"/>
        <v>7521.4048921834556</v>
      </c>
      <c r="I5">
        <f t="shared" si="2"/>
        <v>1592279.4799090861</v>
      </c>
      <c r="J5">
        <f t="shared" si="3"/>
        <v>15877480.69742775</v>
      </c>
      <c r="K5">
        <f t="shared" si="4"/>
        <v>0</v>
      </c>
    </row>
    <row r="6" spans="1:11" x14ac:dyDescent="0.25">
      <c r="A6" t="s">
        <v>10</v>
      </c>
      <c r="B6" t="s">
        <v>9</v>
      </c>
      <c r="C6">
        <v>3.47074863380865</v>
      </c>
      <c r="D6">
        <f>[1]Components!Q$6</f>
        <v>56467000</v>
      </c>
      <c r="E6">
        <f>[1]Components!R$6</f>
        <v>1129000</v>
      </c>
      <c r="F6">
        <f>[1]Components!S$6</f>
        <v>25</v>
      </c>
      <c r="G6">
        <f t="shared" si="0"/>
        <v>0.10028539856244607</v>
      </c>
      <c r="H6">
        <f t="shared" si="1"/>
        <v>5662815.6006256426</v>
      </c>
      <c r="I6">
        <f t="shared" si="2"/>
        <v>19654209.50938176</v>
      </c>
      <c r="J6">
        <f t="shared" si="3"/>
        <v>195982763.10527304</v>
      </c>
      <c r="K6">
        <f t="shared" si="4"/>
        <v>3918475.2075699656</v>
      </c>
    </row>
    <row r="7" spans="1:11" x14ac:dyDescent="0.25">
      <c r="A7" t="s">
        <v>11</v>
      </c>
      <c r="B7" t="s">
        <v>9</v>
      </c>
      <c r="C7">
        <v>15.924198795116601</v>
      </c>
      <c r="D7">
        <f>[1]Components!Q$9</f>
        <v>4192000</v>
      </c>
      <c r="E7">
        <f>[1]Components!R$9</f>
        <v>436000</v>
      </c>
      <c r="F7">
        <f>[1]Components!S$9</f>
        <v>25</v>
      </c>
      <c r="G7">
        <f t="shared" si="0"/>
        <v>0.10028539856244607</v>
      </c>
      <c r="H7">
        <f t="shared" si="1"/>
        <v>420396.39077377395</v>
      </c>
      <c r="I7">
        <f t="shared" si="2"/>
        <v>6694475.699431099</v>
      </c>
      <c r="J7">
        <f t="shared" si="3"/>
        <v>66754241.34912879</v>
      </c>
      <c r="K7">
        <f t="shared" si="4"/>
        <v>6942950.6746708378</v>
      </c>
    </row>
    <row r="8" spans="1:11" x14ac:dyDescent="0.25">
      <c r="A8" t="s">
        <v>12</v>
      </c>
      <c r="B8" t="s">
        <v>13</v>
      </c>
      <c r="C8">
        <v>2</v>
      </c>
      <c r="D8">
        <f>[1]Components!Q$7</f>
        <v>0</v>
      </c>
      <c r="E8">
        <f>[1]Components!R$7</f>
        <v>0</v>
      </c>
      <c r="F8">
        <f>[1]Components!S$7</f>
        <v>40</v>
      </c>
      <c r="G8">
        <f t="shared" si="0"/>
        <v>9.1261034377081968E-2</v>
      </c>
      <c r="H8">
        <f t="shared" si="1"/>
        <v>0</v>
      </c>
      <c r="I8">
        <f t="shared" si="2"/>
        <v>0</v>
      </c>
      <c r="J8">
        <f t="shared" si="3"/>
        <v>0</v>
      </c>
      <c r="K8">
        <f t="shared" si="4"/>
        <v>0</v>
      </c>
    </row>
    <row r="9" spans="1:11" x14ac:dyDescent="0.25">
      <c r="A9" t="s">
        <v>14</v>
      </c>
      <c r="B9" t="s">
        <v>13</v>
      </c>
      <c r="C9">
        <v>30000</v>
      </c>
      <c r="D9">
        <f>[1]Components!Q$7</f>
        <v>0</v>
      </c>
      <c r="E9">
        <f>[1]Components!R$7</f>
        <v>0</v>
      </c>
      <c r="F9">
        <f>[1]Components!S$7</f>
        <v>40</v>
      </c>
      <c r="G9">
        <f>$C$17*(1+$C$17)^F9/((1+$C$17)^F9-1)</f>
        <v>9.1261034377081968E-2</v>
      </c>
      <c r="H9">
        <f t="shared" si="1"/>
        <v>0</v>
      </c>
      <c r="I9">
        <f t="shared" si="2"/>
        <v>0</v>
      </c>
      <c r="J9">
        <f t="shared" si="3"/>
        <v>0</v>
      </c>
      <c r="K9">
        <f t="shared" si="4"/>
        <v>0</v>
      </c>
    </row>
    <row r="11" spans="1:11" x14ac:dyDescent="0.25">
      <c r="A11" s="1" t="s">
        <v>27</v>
      </c>
      <c r="B11" s="1" t="s">
        <v>1</v>
      </c>
      <c r="C11" s="1" t="s">
        <v>2</v>
      </c>
      <c r="D11" s="1" t="s">
        <v>30</v>
      </c>
      <c r="H11" s="1" t="s">
        <v>29</v>
      </c>
      <c r="I11" s="1" t="s">
        <v>28</v>
      </c>
    </row>
    <row r="12" spans="1:11" x14ac:dyDescent="0.25">
      <c r="A12" t="s">
        <v>15</v>
      </c>
      <c r="B12" t="s">
        <v>16</v>
      </c>
      <c r="C12">
        <v>258.89999999999998</v>
      </c>
      <c r="D12">
        <v>56.93</v>
      </c>
      <c r="H12">
        <v>0.17</v>
      </c>
      <c r="I12">
        <f>C12*H12*D12*8760</f>
        <v>21949582.3884</v>
      </c>
    </row>
    <row r="13" spans="1:11" x14ac:dyDescent="0.25">
      <c r="A13" t="s">
        <v>17</v>
      </c>
      <c r="B13" t="s">
        <v>16</v>
      </c>
      <c r="C13">
        <v>539.1</v>
      </c>
      <c r="D13">
        <v>66.819999999999993</v>
      </c>
      <c r="H13">
        <v>0.36399999999999999</v>
      </c>
      <c r="I13">
        <f>C13*H13*D13*8760</f>
        <v>114863300.95968001</v>
      </c>
    </row>
    <row r="14" spans="1:11" x14ac:dyDescent="0.25">
      <c r="A14" t="s">
        <v>18</v>
      </c>
      <c r="B14" t="s">
        <v>16</v>
      </c>
      <c r="C14">
        <v>30.923048225612298</v>
      </c>
      <c r="D14">
        <v>91.02</v>
      </c>
      <c r="H14">
        <v>1</v>
      </c>
      <c r="I14">
        <f>C14*H14*D14*8760</f>
        <v>24656034.841578227</v>
      </c>
    </row>
    <row r="16" spans="1:11" x14ac:dyDescent="0.25">
      <c r="C16" t="s">
        <v>25</v>
      </c>
      <c r="D16" t="s">
        <v>26</v>
      </c>
      <c r="E16" t="s">
        <v>31</v>
      </c>
    </row>
    <row r="17" spans="3:8" x14ac:dyDescent="0.25">
      <c r="C17">
        <v>8.8151375326152429E-2</v>
      </c>
      <c r="D17">
        <f>SUM(I2:I9)</f>
        <v>33540199.950971372</v>
      </c>
      <c r="E17">
        <f>SUM(I12:I14)</f>
        <v>161468918.18965822</v>
      </c>
    </row>
    <row r="18" spans="3:8" x14ac:dyDescent="0.25">
      <c r="D18">
        <f>D17/10^6</f>
        <v>33.54019995097137</v>
      </c>
      <c r="E18">
        <f>E17/10^6</f>
        <v>161.46891818965821</v>
      </c>
    </row>
    <row r="19" spans="3:8" x14ac:dyDescent="0.25">
      <c r="D19" t="s">
        <v>34</v>
      </c>
    </row>
    <row r="20" spans="3:8" x14ac:dyDescent="0.25">
      <c r="D20">
        <f>D17+SUM(K2:K9)</f>
        <v>44406831.176788054</v>
      </c>
    </row>
    <row r="23" spans="3:8" x14ac:dyDescent="0.25">
      <c r="D23" s="2"/>
      <c r="G23" t="s">
        <v>35</v>
      </c>
      <c r="H23">
        <f>D24-D20</f>
        <v>0</v>
      </c>
    </row>
    <row r="24" spans="3:8" x14ac:dyDescent="0.25">
      <c r="D24">
        <v>44406831.176788069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E7B7-BB6C-4B16-8388-96F9961F1135}">
  <dimension ref="A1:M30"/>
  <sheetViews>
    <sheetView topLeftCell="A11" workbookViewId="0">
      <selection sqref="A1:K20"/>
    </sheetView>
  </sheetViews>
  <sheetFormatPr defaultRowHeight="15" x14ac:dyDescent="0.25"/>
  <cols>
    <col min="1" max="1" width="21.28515625" customWidth="1"/>
    <col min="3" max="3" width="20.7109375" customWidth="1"/>
    <col min="4" max="4" width="19" customWidth="1"/>
    <col min="5" max="5" width="9.140625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24</v>
      </c>
      <c r="I1" s="1" t="s">
        <v>23</v>
      </c>
      <c r="J1" s="1" t="s">
        <v>32</v>
      </c>
      <c r="K1" s="1" t="s">
        <v>33</v>
      </c>
    </row>
    <row r="2" spans="1:11" x14ac:dyDescent="0.25">
      <c r="A2" t="s">
        <v>3</v>
      </c>
      <c r="B2" t="s">
        <v>4</v>
      </c>
      <c r="C2">
        <v>9.1865180662347807</v>
      </c>
      <c r="D2">
        <f>[1]Components!Q$8</f>
        <v>461000</v>
      </c>
      <c r="E2">
        <f>[1]Components!R$8</f>
        <v>1000</v>
      </c>
      <c r="F2">
        <f>[1]Components!S$8</f>
        <v>25</v>
      </c>
      <c r="G2">
        <f>$C$17*(1+$C$17)^F2/((1+$C$17)^F2-1)</f>
        <v>7.0952457299229624E-2</v>
      </c>
      <c r="H2">
        <f>G2*D2</f>
        <v>32709.082814944857</v>
      </c>
      <c r="I2">
        <f>H2*C2</f>
        <v>300482.58020946052</v>
      </c>
      <c r="J2">
        <f>C2*D2</f>
        <v>4234984.8285342343</v>
      </c>
      <c r="K2">
        <f>E2*C2</f>
        <v>9186.5180662347811</v>
      </c>
    </row>
    <row r="3" spans="1:11" x14ac:dyDescent="0.25">
      <c r="A3" t="s">
        <v>5</v>
      </c>
      <c r="B3" t="s">
        <v>4</v>
      </c>
      <c r="C3">
        <v>12703.4200148737</v>
      </c>
      <c r="D3">
        <f>[1]Components!Q$10</f>
        <v>5000</v>
      </c>
      <c r="E3">
        <f>[1]Components!R$10</f>
        <v>0</v>
      </c>
      <c r="F3">
        <f>[1]Components!S$10</f>
        <v>25</v>
      </c>
      <c r="G3">
        <f t="shared" ref="G3:G8" si="0">$C$17*(1+$C$17)^F3/((1+$C$17)^F3-1)</f>
        <v>7.0952457299229624E-2</v>
      </c>
      <c r="H3">
        <f t="shared" ref="H3:H9" si="1">G3*D3</f>
        <v>354.76228649614814</v>
      </c>
      <c r="I3">
        <f t="shared" ref="I3:I9" si="2">H3*C3</f>
        <v>4506694.3307975261</v>
      </c>
      <c r="J3">
        <f t="shared" ref="J3:J9" si="3">C3*D3</f>
        <v>63517100.074368499</v>
      </c>
      <c r="K3">
        <f t="shared" ref="K3:K9" si="4">E3*C3</f>
        <v>0</v>
      </c>
    </row>
    <row r="4" spans="1:11" x14ac:dyDescent="0.25">
      <c r="A4" t="s">
        <v>6</v>
      </c>
      <c r="B4" t="s">
        <v>7</v>
      </c>
      <c r="C4">
        <v>976.9</v>
      </c>
      <c r="D4">
        <f>[1]Components!Q$2</f>
        <v>0</v>
      </c>
      <c r="E4">
        <f>[1]Components!R$2</f>
        <v>0</v>
      </c>
      <c r="F4">
        <f>[1]Components!S$2</f>
        <v>50</v>
      </c>
      <c r="G4">
        <f t="shared" si="0"/>
        <v>5.4776735485736472E-2</v>
      </c>
      <c r="H4">
        <f t="shared" si="1"/>
        <v>0</v>
      </c>
      <c r="I4">
        <f t="shared" si="2"/>
        <v>0</v>
      </c>
      <c r="J4">
        <f t="shared" si="3"/>
        <v>0</v>
      </c>
      <c r="K4">
        <f t="shared" si="4"/>
        <v>0</v>
      </c>
    </row>
    <row r="5" spans="1:11" x14ac:dyDescent="0.25">
      <c r="A5" t="s">
        <v>8</v>
      </c>
      <c r="B5" t="s">
        <v>9</v>
      </c>
      <c r="C5">
        <v>259.40840340445101</v>
      </c>
      <c r="D5">
        <f>[1]Components!Q$3</f>
        <v>75000</v>
      </c>
      <c r="E5">
        <f>[1]Components!R$3</f>
        <v>0</v>
      </c>
      <c r="F5">
        <f>[1]Components!S$3</f>
        <v>25</v>
      </c>
      <c r="G5">
        <f t="shared" si="0"/>
        <v>7.0952457299229624E-2</v>
      </c>
      <c r="H5">
        <f t="shared" si="1"/>
        <v>5321.4342974422216</v>
      </c>
      <c r="I5">
        <f t="shared" si="2"/>
        <v>1380424.7749211732</v>
      </c>
      <c r="J5">
        <f t="shared" si="3"/>
        <v>19455630.255333826</v>
      </c>
      <c r="K5">
        <f t="shared" si="4"/>
        <v>0</v>
      </c>
    </row>
    <row r="6" spans="1:11" x14ac:dyDescent="0.25">
      <c r="A6" t="s">
        <v>10</v>
      </c>
      <c r="B6" t="s">
        <v>9</v>
      </c>
      <c r="C6">
        <v>4.2458696944782304</v>
      </c>
      <c r="D6">
        <f>[1]Components!Q$6</f>
        <v>56467000</v>
      </c>
      <c r="E6">
        <f>[1]Components!R$6</f>
        <v>1129000</v>
      </c>
      <c r="F6">
        <f>[1]Components!S$6</f>
        <v>25</v>
      </c>
      <c r="G6">
        <f t="shared" si="0"/>
        <v>7.0952457299229624E-2</v>
      </c>
      <c r="H6">
        <f t="shared" si="1"/>
        <v>4006472.4063155991</v>
      </c>
      <c r="I6">
        <f t="shared" si="2"/>
        <v>17010959.771738674</v>
      </c>
      <c r="J6">
        <f t="shared" si="3"/>
        <v>239751524.03810224</v>
      </c>
      <c r="K6">
        <f t="shared" si="4"/>
        <v>4793586.8850659225</v>
      </c>
    </row>
    <row r="7" spans="1:11" x14ac:dyDescent="0.25">
      <c r="A7" t="s">
        <v>11</v>
      </c>
      <c r="B7" t="s">
        <v>9</v>
      </c>
      <c r="C7">
        <v>19.7000360095536</v>
      </c>
      <c r="D7">
        <f>[1]Components!Q$9</f>
        <v>4192000</v>
      </c>
      <c r="E7">
        <f>[1]Components!R$9</f>
        <v>436000</v>
      </c>
      <c r="F7">
        <f>[1]Components!S$9</f>
        <v>25</v>
      </c>
      <c r="G7">
        <f t="shared" si="0"/>
        <v>7.0952457299229624E-2</v>
      </c>
      <c r="H7">
        <f t="shared" si="1"/>
        <v>297432.70099837059</v>
      </c>
      <c r="I7">
        <f t="shared" si="2"/>
        <v>5859434.9200866893</v>
      </c>
      <c r="J7">
        <f t="shared" si="3"/>
        <v>82582550.952048689</v>
      </c>
      <c r="K7">
        <f t="shared" si="4"/>
        <v>8589215.7001653686</v>
      </c>
    </row>
    <row r="8" spans="1:11" x14ac:dyDescent="0.25">
      <c r="A8" t="s">
        <v>12</v>
      </c>
      <c r="B8" t="s">
        <v>13</v>
      </c>
      <c r="C8">
        <v>2</v>
      </c>
      <c r="D8">
        <f>[1]Components!Q$7</f>
        <v>0</v>
      </c>
      <c r="E8">
        <f>[1]Components!R$7</f>
        <v>0</v>
      </c>
      <c r="F8">
        <f>[1]Components!S$7</f>
        <v>40</v>
      </c>
      <c r="G8">
        <f t="shared" si="0"/>
        <v>5.8278161166035E-2</v>
      </c>
      <c r="H8">
        <f t="shared" si="1"/>
        <v>0</v>
      </c>
      <c r="I8">
        <f t="shared" si="2"/>
        <v>0</v>
      </c>
      <c r="J8">
        <f t="shared" si="3"/>
        <v>0</v>
      </c>
      <c r="K8">
        <f t="shared" si="4"/>
        <v>0</v>
      </c>
    </row>
    <row r="9" spans="1:11" x14ac:dyDescent="0.25">
      <c r="A9" t="s">
        <v>14</v>
      </c>
      <c r="B9" t="s">
        <v>13</v>
      </c>
      <c r="C9">
        <v>30000</v>
      </c>
      <c r="D9">
        <f>[1]Components!Q$7</f>
        <v>0</v>
      </c>
      <c r="E9">
        <f>[1]Components!R$7</f>
        <v>0</v>
      </c>
      <c r="F9">
        <f>[1]Components!S$7</f>
        <v>40</v>
      </c>
      <c r="G9">
        <f>$C$17*(1+$C$17)^F9/((1+$C$17)^F9-1)</f>
        <v>5.8278161166035E-2</v>
      </c>
      <c r="H9">
        <f t="shared" si="1"/>
        <v>0</v>
      </c>
      <c r="I9">
        <f t="shared" si="2"/>
        <v>0</v>
      </c>
      <c r="J9">
        <f t="shared" si="3"/>
        <v>0</v>
      </c>
      <c r="K9">
        <f t="shared" si="4"/>
        <v>0</v>
      </c>
    </row>
    <row r="11" spans="1:11" x14ac:dyDescent="0.25">
      <c r="A11" s="1" t="s">
        <v>27</v>
      </c>
      <c r="B11" s="1" t="s">
        <v>1</v>
      </c>
      <c r="C11" s="1" t="s">
        <v>2</v>
      </c>
      <c r="D11" s="1" t="s">
        <v>30</v>
      </c>
      <c r="H11" s="1" t="s">
        <v>29</v>
      </c>
      <c r="I11" s="1" t="s">
        <v>28</v>
      </c>
    </row>
    <row r="12" spans="1:11" x14ac:dyDescent="0.25">
      <c r="A12" t="s">
        <v>15</v>
      </c>
      <c r="B12" t="s">
        <v>16</v>
      </c>
      <c r="C12">
        <v>258.89999999999998</v>
      </c>
      <c r="D12">
        <v>56.93</v>
      </c>
      <c r="H12">
        <v>0.17</v>
      </c>
      <c r="I12">
        <f>C12*H12*D12*8760</f>
        <v>21949582.3884</v>
      </c>
    </row>
    <row r="13" spans="1:11" x14ac:dyDescent="0.25">
      <c r="A13" t="s">
        <v>17</v>
      </c>
      <c r="B13" t="s">
        <v>16</v>
      </c>
      <c r="C13">
        <v>539.1</v>
      </c>
      <c r="D13">
        <v>66.819999999999993</v>
      </c>
      <c r="H13">
        <v>0.36399999999999999</v>
      </c>
      <c r="I13">
        <f>C13*H13*D13*8760</f>
        <v>114863300.95968001</v>
      </c>
    </row>
    <row r="14" spans="1:11" x14ac:dyDescent="0.25">
      <c r="A14" t="s">
        <v>18</v>
      </c>
      <c r="B14" t="s">
        <v>16</v>
      </c>
      <c r="C14">
        <v>30.923048225612298</v>
      </c>
      <c r="D14">
        <v>91.02</v>
      </c>
      <c r="H14">
        <v>1</v>
      </c>
      <c r="I14">
        <f>C14*H14*D14*8760</f>
        <v>24656034.841578227</v>
      </c>
    </row>
    <row r="16" spans="1:11" x14ac:dyDescent="0.25">
      <c r="C16" t="s">
        <v>25</v>
      </c>
      <c r="D16" t="s">
        <v>26</v>
      </c>
      <c r="E16" t="s">
        <v>31</v>
      </c>
    </row>
    <row r="17" spans="3:13" x14ac:dyDescent="0.25">
      <c r="C17">
        <v>0.05</v>
      </c>
      <c r="D17">
        <f>SUM(I2:I9)</f>
        <v>29057996.377753522</v>
      </c>
      <c r="E17">
        <f>SUM(I12:I14)</f>
        <v>161468918.18965822</v>
      </c>
    </row>
    <row r="18" spans="3:13" x14ac:dyDescent="0.25">
      <c r="D18">
        <f>D17/10^6</f>
        <v>29.057996377753522</v>
      </c>
      <c r="E18">
        <f>E17/10^6</f>
        <v>161.46891818965821</v>
      </c>
    </row>
    <row r="19" spans="3:13" x14ac:dyDescent="0.25">
      <c r="D19" t="s">
        <v>34</v>
      </c>
    </row>
    <row r="20" spans="3:13" x14ac:dyDescent="0.25">
      <c r="D20">
        <f>D17+SUM(K2:K9)</f>
        <v>42449985.48105105</v>
      </c>
    </row>
    <row r="28" spans="3:13" x14ac:dyDescent="0.25">
      <c r="K28" t="s">
        <v>15</v>
      </c>
      <c r="L28" t="s">
        <v>16</v>
      </c>
      <c r="M28">
        <v>231.53165229838999</v>
      </c>
    </row>
    <row r="29" spans="3:13" x14ac:dyDescent="0.25">
      <c r="K29" t="s">
        <v>17</v>
      </c>
      <c r="L29" t="s">
        <v>16</v>
      </c>
      <c r="M29">
        <v>394.46523108432598</v>
      </c>
    </row>
    <row r="30" spans="3:13" x14ac:dyDescent="0.25">
      <c r="K30" t="s">
        <v>18</v>
      </c>
      <c r="L30" t="s">
        <v>16</v>
      </c>
      <c r="M30">
        <v>37.868247994050897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E1B3-E406-4E91-8F57-FC19F99325B3}">
  <dimension ref="A1:K20"/>
  <sheetViews>
    <sheetView workbookViewId="0">
      <selection activeCell="G2" sqref="G2:G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24</v>
      </c>
      <c r="I1" s="1" t="s">
        <v>23</v>
      </c>
      <c r="J1" s="1" t="s">
        <v>32</v>
      </c>
      <c r="K1" s="1" t="s">
        <v>33</v>
      </c>
    </row>
    <row r="2" spans="1:11" x14ac:dyDescent="0.25">
      <c r="A2" t="s">
        <v>3</v>
      </c>
      <c r="B2" t="s">
        <v>4</v>
      </c>
      <c r="C2">
        <v>4.5756590051792196</v>
      </c>
      <c r="D2">
        <f>[1]Components!Q$8</f>
        <v>461000</v>
      </c>
      <c r="E2">
        <f>[1]Components!R$8</f>
        <v>1000</v>
      </c>
      <c r="F2">
        <f>[1]Components!S$8</f>
        <v>25</v>
      </c>
      <c r="G2">
        <f>$C$17*(1+$C$17)^F2/((1+$C$17)^F2-1)</f>
        <v>7.0952457299229624E-2</v>
      </c>
      <c r="H2">
        <f>G2*D2</f>
        <v>32709.082814944857</v>
      </c>
      <c r="I2">
        <f>H2*C2</f>
        <v>149665.6093333553</v>
      </c>
      <c r="J2">
        <f>C2*D2</f>
        <v>2109378.8013876202</v>
      </c>
      <c r="K2">
        <f>E2*C2</f>
        <v>4575.65900517922</v>
      </c>
    </row>
    <row r="3" spans="1:11" x14ac:dyDescent="0.25">
      <c r="A3" t="s">
        <v>5</v>
      </c>
      <c r="B3" t="s">
        <v>4</v>
      </c>
      <c r="C3">
        <v>9394.64417475954</v>
      </c>
      <c r="D3">
        <f>[1]Components!Q$10</f>
        <v>5000</v>
      </c>
      <c r="E3">
        <f>[1]Components!R$10</f>
        <v>0</v>
      </c>
      <c r="F3">
        <f>[1]Components!S$10</f>
        <v>25</v>
      </c>
      <c r="G3">
        <f t="shared" ref="G3:G8" si="0">$C$17*(1+$C$17)^F3/((1+$C$17)^F3-1)</f>
        <v>7.0952457299229624E-2</v>
      </c>
      <c r="H3">
        <f t="shared" ref="H3:H9" si="1">G3*D3</f>
        <v>354.76228649614814</v>
      </c>
      <c r="I3">
        <f t="shared" ref="I3:I9" si="2">H3*C3</f>
        <v>3332865.4482554132</v>
      </c>
      <c r="J3">
        <f t="shared" ref="J3:J9" si="3">C3*D3</f>
        <v>46973220.8737977</v>
      </c>
      <c r="K3">
        <f t="shared" ref="K3:K9" si="4">E3*C3</f>
        <v>0</v>
      </c>
    </row>
    <row r="4" spans="1:11" x14ac:dyDescent="0.25">
      <c r="A4" t="s">
        <v>6</v>
      </c>
      <c r="B4" t="s">
        <v>7</v>
      </c>
      <c r="C4">
        <v>976.9</v>
      </c>
      <c r="D4">
        <f>[1]Components!Q$2</f>
        <v>0</v>
      </c>
      <c r="E4">
        <f>[1]Components!R$2</f>
        <v>0</v>
      </c>
      <c r="F4">
        <f>[1]Components!S$2</f>
        <v>50</v>
      </c>
      <c r="G4">
        <f t="shared" si="0"/>
        <v>5.4776735485736472E-2</v>
      </c>
      <c r="H4">
        <f t="shared" si="1"/>
        <v>0</v>
      </c>
      <c r="I4">
        <f t="shared" si="2"/>
        <v>0</v>
      </c>
      <c r="J4">
        <f t="shared" si="3"/>
        <v>0</v>
      </c>
      <c r="K4">
        <f t="shared" si="4"/>
        <v>0</v>
      </c>
    </row>
    <row r="5" spans="1:11" x14ac:dyDescent="0.25">
      <c r="A5" t="s">
        <v>8</v>
      </c>
      <c r="B5" t="s">
        <v>9</v>
      </c>
      <c r="C5">
        <v>208.08910290914901</v>
      </c>
      <c r="D5">
        <f>[1]Components!Q$3</f>
        <v>75000</v>
      </c>
      <c r="E5">
        <f>[1]Components!R$3</f>
        <v>0</v>
      </c>
      <c r="F5">
        <f>[1]Components!S$3</f>
        <v>25</v>
      </c>
      <c r="G5">
        <f t="shared" si="0"/>
        <v>7.0952457299229624E-2</v>
      </c>
      <c r="H5">
        <f t="shared" si="1"/>
        <v>5321.4342974422216</v>
      </c>
      <c r="I5">
        <f t="shared" si="2"/>
        <v>1107332.4891447295</v>
      </c>
      <c r="J5">
        <f t="shared" si="3"/>
        <v>15606682.718186175</v>
      </c>
      <c r="K5">
        <f t="shared" si="4"/>
        <v>0</v>
      </c>
    </row>
    <row r="6" spans="1:11" x14ac:dyDescent="0.25">
      <c r="A6" t="s">
        <v>10</v>
      </c>
      <c r="B6" t="s">
        <v>9</v>
      </c>
      <c r="C6">
        <v>3.4177584862982999</v>
      </c>
      <c r="D6">
        <f>[1]Components!Q$6</f>
        <v>56467000</v>
      </c>
      <c r="E6">
        <f>[1]Components!R$6</f>
        <v>1129000</v>
      </c>
      <c r="F6">
        <f>[1]Components!S$6</f>
        <v>25</v>
      </c>
      <c r="G6">
        <f t="shared" si="0"/>
        <v>7.0952457299229624E-2</v>
      </c>
      <c r="H6">
        <f t="shared" si="1"/>
        <v>4006472.4063155991</v>
      </c>
      <c r="I6">
        <f t="shared" si="2"/>
        <v>13693155.066805109</v>
      </c>
      <c r="J6">
        <f t="shared" si="3"/>
        <v>192990568.44580612</v>
      </c>
      <c r="K6">
        <f t="shared" si="4"/>
        <v>3858649.3310307804</v>
      </c>
    </row>
    <row r="7" spans="1:11" x14ac:dyDescent="0.25">
      <c r="A7" t="s">
        <v>11</v>
      </c>
      <c r="B7" t="s">
        <v>9</v>
      </c>
      <c r="C7">
        <v>15.430205417400201</v>
      </c>
      <c r="D7">
        <f>[1]Components!Q$9</f>
        <v>4192000</v>
      </c>
      <c r="E7">
        <f>[1]Components!R$9</f>
        <v>436000</v>
      </c>
      <c r="F7">
        <f>[1]Components!S$9</f>
        <v>25</v>
      </c>
      <c r="G7">
        <f t="shared" si="0"/>
        <v>7.0952457299229624E-2</v>
      </c>
      <c r="H7">
        <f t="shared" si="1"/>
        <v>297432.70099837059</v>
      </c>
      <c r="I7">
        <f t="shared" si="2"/>
        <v>4589447.6742570316</v>
      </c>
      <c r="J7">
        <f t="shared" si="3"/>
        <v>64683421.109741643</v>
      </c>
      <c r="K7">
        <f t="shared" si="4"/>
        <v>6727569.5619864874</v>
      </c>
    </row>
    <row r="8" spans="1:11" x14ac:dyDescent="0.25">
      <c r="A8" t="s">
        <v>12</v>
      </c>
      <c r="B8" t="s">
        <v>13</v>
      </c>
      <c r="C8">
        <v>2</v>
      </c>
      <c r="D8">
        <f>[1]Components!Q$7</f>
        <v>0</v>
      </c>
      <c r="E8">
        <f>[1]Components!R$7</f>
        <v>0</v>
      </c>
      <c r="F8">
        <f>[1]Components!S$7</f>
        <v>40</v>
      </c>
      <c r="G8">
        <f t="shared" si="0"/>
        <v>5.8278161166035E-2</v>
      </c>
      <c r="H8">
        <f t="shared" si="1"/>
        <v>0</v>
      </c>
      <c r="I8">
        <f t="shared" si="2"/>
        <v>0</v>
      </c>
      <c r="J8">
        <f t="shared" si="3"/>
        <v>0</v>
      </c>
      <c r="K8">
        <f t="shared" si="4"/>
        <v>0</v>
      </c>
    </row>
    <row r="9" spans="1:11" x14ac:dyDescent="0.25">
      <c r="A9" t="s">
        <v>14</v>
      </c>
      <c r="B9" t="s">
        <v>13</v>
      </c>
      <c r="C9">
        <v>30000</v>
      </c>
      <c r="D9">
        <f>[1]Components!Q$7</f>
        <v>0</v>
      </c>
      <c r="E9">
        <f>[1]Components!R$7</f>
        <v>0</v>
      </c>
      <c r="F9">
        <f>[1]Components!S$7</f>
        <v>40</v>
      </c>
      <c r="G9">
        <f>$C$17*(1+$C$17)^F9/((1+$C$17)^F9-1)</f>
        <v>5.8278161166035E-2</v>
      </c>
      <c r="H9">
        <f t="shared" si="1"/>
        <v>0</v>
      </c>
      <c r="I9">
        <f t="shared" si="2"/>
        <v>0</v>
      </c>
      <c r="J9">
        <f t="shared" si="3"/>
        <v>0</v>
      </c>
      <c r="K9">
        <f t="shared" si="4"/>
        <v>0</v>
      </c>
    </row>
    <row r="11" spans="1:11" x14ac:dyDescent="0.25">
      <c r="A11" s="1" t="s">
        <v>27</v>
      </c>
      <c r="B11" s="1" t="s">
        <v>1</v>
      </c>
      <c r="C11" s="1" t="s">
        <v>2</v>
      </c>
      <c r="D11" s="1" t="s">
        <v>30</v>
      </c>
      <c r="H11" s="1" t="s">
        <v>29</v>
      </c>
      <c r="I11" s="1" t="s">
        <v>28</v>
      </c>
    </row>
    <row r="12" spans="1:11" x14ac:dyDescent="0.25">
      <c r="A12" t="s">
        <v>15</v>
      </c>
      <c r="B12" t="s">
        <v>16</v>
      </c>
      <c r="C12">
        <v>258.89999999999998</v>
      </c>
      <c r="D12">
        <v>56.93</v>
      </c>
      <c r="H12">
        <v>0.17</v>
      </c>
      <c r="I12">
        <f>C12*H12*D12*8760</f>
        <v>21949582.3884</v>
      </c>
    </row>
    <row r="13" spans="1:11" x14ac:dyDescent="0.25">
      <c r="A13" t="s">
        <v>17</v>
      </c>
      <c r="B13" t="s">
        <v>16</v>
      </c>
      <c r="C13">
        <v>539.1</v>
      </c>
      <c r="D13">
        <v>66.819999999999993</v>
      </c>
      <c r="H13">
        <v>0.36399999999999999</v>
      </c>
      <c r="I13">
        <f>C13*H13*D13*8760</f>
        <v>114863300.95968001</v>
      </c>
    </row>
    <row r="14" spans="1:11" x14ac:dyDescent="0.25">
      <c r="A14" t="s">
        <v>18</v>
      </c>
      <c r="B14" t="s">
        <v>16</v>
      </c>
      <c r="C14">
        <v>30.923048225612298</v>
      </c>
      <c r="D14">
        <v>91.02</v>
      </c>
      <c r="H14">
        <v>1</v>
      </c>
      <c r="I14">
        <f>C14*H14*D14*8760</f>
        <v>24656034.841578227</v>
      </c>
    </row>
    <row r="16" spans="1:11" x14ac:dyDescent="0.25">
      <c r="C16" t="s">
        <v>25</v>
      </c>
      <c r="D16" t="s">
        <v>26</v>
      </c>
      <c r="E16" t="s">
        <v>31</v>
      </c>
    </row>
    <row r="17" spans="3:5" x14ac:dyDescent="0.25">
      <c r="C17">
        <v>0.05</v>
      </c>
      <c r="D17">
        <f>SUM(I2:I9)</f>
        <v>22872466.287795641</v>
      </c>
      <c r="E17">
        <f>SUM(I12:I14)</f>
        <v>161468918.18965822</v>
      </c>
    </row>
    <row r="18" spans="3:5" x14ac:dyDescent="0.25">
      <c r="D18">
        <f>D17/10^6</f>
        <v>22.872466287795639</v>
      </c>
      <c r="E18">
        <f>E17/10^6</f>
        <v>161.46891818965821</v>
      </c>
    </row>
    <row r="19" spans="3:5" x14ac:dyDescent="0.25">
      <c r="D19" t="s">
        <v>34</v>
      </c>
    </row>
    <row r="20" spans="3:5" x14ac:dyDescent="0.25">
      <c r="D20">
        <f>D17+SUM(K2:K9)</f>
        <v>33463260.839818086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optimal_capacities-cvar_alpha_0</vt:lpstr>
      <vt:lpstr>risk-neutral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Frederik Skou Fertin</cp:lastModifiedBy>
  <dcterms:created xsi:type="dcterms:W3CDTF">2026-05-26T15:44:50Z</dcterms:created>
  <dcterms:modified xsi:type="dcterms:W3CDTF">2026-05-29T14:26:19Z</dcterms:modified>
</cp:coreProperties>
</file>