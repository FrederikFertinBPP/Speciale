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fskfe_dtu_dk/Documents/Dokumenter/DTU_Man/Speciale/setup_files/"/>
    </mc:Choice>
  </mc:AlternateContent>
  <xr:revisionPtr revIDLastSave="949" documentId="8_{3A720C2A-8BB2-46CC-9A31-194013BDD676}" xr6:coauthVersionLast="47" xr6:coauthVersionMax="47" xr10:uidLastSave="{085FA516-2EA2-4AA3-AAA4-C6A268E17639}"/>
  <bookViews>
    <workbookView xWindow="-120" yWindow="-120" windowWidth="29040" windowHeight="15720" activeTab="2" xr2:uid="{7643C590-AB87-4ECC-9949-F1DE609BD7D2}"/>
  </bookViews>
  <sheets>
    <sheet name="Scenarios" sheetId="7" r:id="rId1"/>
    <sheet name="Carriers" sheetId="3" r:id="rId2"/>
    <sheet name="Components" sheetId="1" r:id="rId3"/>
    <sheet name="Contracts" sheetId="2" r:id="rId4"/>
    <sheet name="PPAs" sheetId="5" r:id="rId5"/>
    <sheet name="Annual Contract Summari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D3" i="5"/>
  <c r="D2" i="5"/>
  <c r="R7" i="1"/>
  <c r="R4" i="1"/>
  <c r="Q6" i="1"/>
  <c r="Q4" i="1"/>
  <c r="Q7" i="1"/>
  <c r="Q3" i="1" l="1"/>
  <c r="D3" i="1"/>
  <c r="D2" i="1" s="1"/>
  <c r="I2" i="2"/>
  <c r="H2" i="2"/>
  <c r="C8" i="1"/>
  <c r="E18" i="7"/>
  <c r="E17" i="7"/>
  <c r="E13" i="7"/>
  <c r="E10" i="7"/>
  <c r="E9" i="7"/>
  <c r="F4" i="2"/>
  <c r="E15" i="7"/>
  <c r="E14" i="7"/>
  <c r="E16" i="7" s="1"/>
  <c r="E12" i="7"/>
  <c r="E8" i="7"/>
  <c r="E7" i="7"/>
  <c r="E4" i="7"/>
  <c r="E6" i="7"/>
  <c r="E2" i="7"/>
  <c r="C8" i="6"/>
  <c r="C4" i="6"/>
  <c r="B8" i="6"/>
  <c r="A9" i="6"/>
  <c r="A8" i="6"/>
  <c r="B4" i="6"/>
  <c r="A4" i="6"/>
  <c r="A3" i="6"/>
  <c r="B3" i="6"/>
  <c r="C3" i="6" s="1"/>
  <c r="B2" i="6"/>
  <c r="A2" i="6"/>
  <c r="E4" i="2"/>
  <c r="J7" i="1"/>
  <c r="C3" i="1" s="1"/>
  <c r="C2" i="1" s="1"/>
  <c r="H4" i="1"/>
  <c r="D3" i="2"/>
  <c r="D2" i="2"/>
  <c r="F3" i="2"/>
  <c r="F2" i="2"/>
  <c r="B5" i="6" l="1"/>
  <c r="C2" i="6"/>
  <c r="C5" i="6" s="1"/>
  <c r="I3" i="2" l="1"/>
  <c r="H3" i="2"/>
  <c r="B9" i="6"/>
  <c r="B10" i="6" s="1"/>
  <c r="C9" i="6"/>
  <c r="C1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38D2FF17-1B12-4FD8-892C-AC0D7AB10AA0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scenario is this change connected to?</t>
        </r>
      </text>
    </comment>
    <comment ref="B1" authorId="0" shapeId="0" xr:uid="{092117FD-972D-4BCE-A479-671B234E65FB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Is it (component, contract, ppa)?</t>
        </r>
      </text>
    </comment>
    <comment ref="C1" authorId="0" shapeId="0" xr:uid="{B1FA9018-3FD9-4F79-BBAF-DF9DBC1279C5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name of the thing changed?</t>
        </r>
      </text>
    </comment>
    <comment ref="D1" authorId="0" shapeId="0" xr:uid="{E3973579-80BC-4E93-968E-326BDA3061BA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Parameter changed (price, capacity, volume, etc)</t>
        </r>
      </text>
    </comment>
    <comment ref="E1" authorId="0" shapeId="0" xr:uid="{E0F45131-CAB8-45C4-95C5-85F58411B907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new value in the scenario?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E4CB2F69-B3C5-478A-BCC4-1CAC1308E333}">
      <text>
        <r>
          <rPr>
            <b/>
            <sz val="9"/>
            <color indexed="81"/>
            <rFont val="Tahoma"/>
            <family val="2"/>
          </rPr>
          <t>Frederik Skou Fertin:
Incompatible with '-' in the name of a unit.</t>
        </r>
      </text>
    </comment>
    <comment ref="J1" authorId="0" shapeId="0" xr:uid="{D8A9701D-5B57-471A-8F0C-1C9A2CC863BC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MWh/output for links.
MWh/inflow for storages and offtakers.</t>
        </r>
      </text>
    </comment>
    <comment ref="K3" authorId="0" shapeId="0" xr:uid="{28D8A365-2CFC-4554-ADBD-AE8089FDC748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Can be set as reversible, but not relevant without BESS or on-site power generation.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C1" authorId="0" shapeId="0" xr:uid="{80B8BD84-C120-4CF8-9CBF-A99A73B6A1C8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€/t</t>
        </r>
      </text>
    </comment>
    <comment ref="F1" authorId="0" shapeId="0" xr:uid="{0BFF4858-E6D3-4475-B27D-FD3088427621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Shipment capacity upper bound.</t>
        </r>
      </text>
    </comment>
    <comment ref="E3" authorId="0" shapeId="0" xr:uid="{40EC406C-3811-46B7-8D89-66E3F9550F13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Half of the NH3 capacity is contracted away.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H1" authorId="0" shapeId="0" xr:uid="{81CBFBB2-BCE5-440F-9F42-480A77FB4E74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€/MWh</t>
        </r>
      </text>
    </comment>
  </commentList>
</comments>
</file>

<file path=xl/sharedStrings.xml><?xml version="1.0" encoding="utf-8"?>
<sst xmlns="http://schemas.openxmlformats.org/spreadsheetml/2006/main" count="228" uniqueCount="113">
  <si>
    <t>Electrolyzer</t>
  </si>
  <si>
    <t>name</t>
  </si>
  <si>
    <t>type</t>
  </si>
  <si>
    <t>capacity</t>
  </si>
  <si>
    <t>consumes</t>
  </si>
  <si>
    <t>produces</t>
  </si>
  <si>
    <t>rate</t>
  </si>
  <si>
    <t>notes</t>
  </si>
  <si>
    <t>SolarPower</t>
  </si>
  <si>
    <t>solar</t>
  </si>
  <si>
    <t>WindPower</t>
  </si>
  <si>
    <t>wind</t>
  </si>
  <si>
    <t>link</t>
  </si>
  <si>
    <t>hydrogen</t>
  </si>
  <si>
    <t>Hydrogen Pipeline</t>
  </si>
  <si>
    <t>Hydrogen Storage</t>
  </si>
  <si>
    <t>storage</t>
  </si>
  <si>
    <t>ammonia</t>
  </si>
  <si>
    <t>Ammonia Storage</t>
  </si>
  <si>
    <t>Ammonia Shipment</t>
  </si>
  <si>
    <t>price</t>
  </si>
  <si>
    <t>volume</t>
  </si>
  <si>
    <t>hourly</t>
  </si>
  <si>
    <t>yearly</t>
  </si>
  <si>
    <t>hydrogen_offtake</t>
  </si>
  <si>
    <t>ammonia_offtake</t>
  </si>
  <si>
    <t>simulated</t>
  </si>
  <si>
    <t>offtaker</t>
  </si>
  <si>
    <t>t</t>
  </si>
  <si>
    <t>MWh</t>
  </si>
  <si>
    <t>default_unit</t>
  </si>
  <si>
    <t>annual_cf</t>
  </si>
  <si>
    <t>Hydrogen1</t>
  </si>
  <si>
    <t>Ammonia1</t>
  </si>
  <si>
    <t>target_frequency</t>
  </si>
  <si>
    <t>shipment_frequency</t>
  </si>
  <si>
    <t>monthly</t>
  </si>
  <si>
    <t>capacity_unit</t>
  </si>
  <si>
    <t>MW</t>
  </si>
  <si>
    <t>AmmoniaSpot</t>
  </si>
  <si>
    <t>t H2/h</t>
  </si>
  <si>
    <t>t H2</t>
  </si>
  <si>
    <t>t NH3/h</t>
  </si>
  <si>
    <t>t NH3</t>
  </si>
  <si>
    <t>resource</t>
  </si>
  <si>
    <t>cap</t>
  </si>
  <si>
    <t>Contract for NH3 at an agreed upon contract, and an agreed upon yearly volume.</t>
  </si>
  <si>
    <t>Hourly contract for H2 sale. Volume renegotiated every week, but price fixed.</t>
  </si>
  <si>
    <t>min_volume</t>
  </si>
  <si>
    <t>max_volume</t>
  </si>
  <si>
    <t>Capacity of 480 Mwe equals 8.99 tH2/h. Efficiency of 53.4 MWh/tH2.</t>
  </si>
  <si>
    <t>H2 pipeline transports hydrogen to offtaker. Large capacity of 20 tH2/h.</t>
  </si>
  <si>
    <t>H2 storage of capacity at 20 tH2. Charging efficiency of 0.94 MWh/tH2, due to compressor consumption.</t>
  </si>
  <si>
    <t>Ammonia synthesis rate is 5.5 tNH3/tH2. Electricity consumption for other processes is 1.65 MWh/tNH3.</t>
  </si>
  <si>
    <t>Shipment which is the main channel of ammonia offtake.</t>
  </si>
  <si>
    <t>Grid connection point with a capacity of 562.5 MW. Allows for max operation of ammonia and hydrogen plants.</t>
  </si>
  <si>
    <t>penalty</t>
  </si>
  <si>
    <t>spot_contract</t>
  </si>
  <si>
    <t>water</t>
  </si>
  <si>
    <t>grid_electricity</t>
  </si>
  <si>
    <t>plant_electricity</t>
  </si>
  <si>
    <t>electricity_consumption</t>
  </si>
  <si>
    <t>ElectricitySpot</t>
  </si>
  <si>
    <t>spot_electricity</t>
  </si>
  <si>
    <t>Capacity to allow for sale of all PPA, or buy of all GCP capacity.</t>
  </si>
  <si>
    <t>availability</t>
  </si>
  <si>
    <t>Haber Bosch Plant</t>
  </si>
  <si>
    <t>Grid Connection Point</t>
  </si>
  <si>
    <t>dayahead</t>
  </si>
  <si>
    <t>ppa</t>
  </si>
  <si>
    <t>Storage capacity is 31 days continuous maximum production. Small consumption for inflow, to avoid simultaneous in- and outflow.</t>
  </si>
  <si>
    <t>Total</t>
  </si>
  <si>
    <t>PPA</t>
  </si>
  <si>
    <t>Power [GWh]</t>
  </si>
  <si>
    <t>Contract</t>
  </si>
  <si>
    <t>Cost [M€]</t>
  </si>
  <si>
    <t>Revenue [M€]</t>
  </si>
  <si>
    <t>Changed Parameter</t>
  </si>
  <si>
    <t>Changed Type</t>
  </si>
  <si>
    <t>New Value</t>
  </si>
  <si>
    <t>contract</t>
  </si>
  <si>
    <t>Changed Object</t>
  </si>
  <si>
    <t>80percent_ammonia</t>
  </si>
  <si>
    <t>Scenario Name</t>
  </si>
  <si>
    <t>70percent_ammonia</t>
  </si>
  <si>
    <t>60percent_ammonia</t>
  </si>
  <si>
    <t>50percent_ammonia</t>
  </si>
  <si>
    <t>40percent_ammonia</t>
  </si>
  <si>
    <t>no_solar_power</t>
  </si>
  <si>
    <t>high_RE_level</t>
  </si>
  <si>
    <t>component</t>
  </si>
  <si>
    <t>30percent_ammonia</t>
  </si>
  <si>
    <t>20percent_ammonia</t>
  </si>
  <si>
    <t>base_case_no_spot</t>
  </si>
  <si>
    <t>min_load</t>
  </si>
  <si>
    <t>efficiency_curve</t>
  </si>
  <si>
    <t>electrolyzer_technicals.json</t>
  </si>
  <si>
    <t>max_ramp_up</t>
  </si>
  <si>
    <t>max_ramp_down</t>
  </si>
  <si>
    <t>haber_bosch_technicals.xlsx</t>
  </si>
  <si>
    <t>Spot market contract for NH3.</t>
  </si>
  <si>
    <t>volume_buffer</t>
  </si>
  <si>
    <t>max_capacity</t>
  </si>
  <si>
    <t>capital_cost</t>
  </si>
  <si>
    <t>lifetime</t>
  </si>
  <si>
    <t>fixed_operational_cost</t>
  </si>
  <si>
    <t>HydroPower</t>
  </si>
  <si>
    <t>hydro</t>
  </si>
  <si>
    <t>Hydro power max capacity is 10% of system installed Reservoir Hydro capacity in PT.</t>
  </si>
  <si>
    <t>Wind power max capacity is 10% of system installed Onshore+Offshore Wind capacity in PT.</t>
  </si>
  <si>
    <t>Solar power max capacity is 10% of system installed Utility Solar capacity in PT.</t>
  </si>
  <si>
    <t>out_rate</t>
  </si>
  <si>
    <t>reversible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</si>
</sst>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0" fontId="0" fillId="3" borderId="0" xfId="0" applyFill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0" borderId="0" xfId="0" applyNumberFormat="1"/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DA30-87E6-4FE5-BCAE-7905C7ABE8F6}">
  <dimension ref="A1:E18"/>
  <sheetViews>
    <sheetView workbookViewId="0">
      <selection activeCell="G13" sqref="G13"/>
    </sheetView>
  </sheetViews>
  <sheetFormatPr defaultRowHeight="15" x14ac:dyDescent="0.25"/>
  <cols>
    <col min="1" max="1" width="18.7109375" customWidth="1"/>
    <col min="2" max="2" width="14.85546875" customWidth="1"/>
    <col min="3" max="3" width="19.42578125" customWidth="1"/>
    <col min="4" max="4" width="18.28515625" customWidth="1"/>
    <col min="5" max="5" width="11" customWidth="1"/>
  </cols>
  <sheetData>
    <row r="1" spans="1:5" x14ac:dyDescent="0.25">
      <c r="A1" s="11" t="s">
        <v>83</v>
      </c>
      <c r="B1" s="11" t="s">
        <v>78</v>
      </c>
      <c r="C1" s="11" t="s">
        <v>81</v>
      </c>
      <c r="D1" s="11" t="s">
        <v>77</v>
      </c>
      <c r="E1" s="11" t="s">
        <v>79</v>
      </c>
    </row>
    <row r="2" spans="1:5" x14ac:dyDescent="0.25">
      <c r="A2" t="s">
        <v>82</v>
      </c>
      <c r="B2" t="s">
        <v>80</v>
      </c>
      <c r="C2" t="s">
        <v>33</v>
      </c>
      <c r="D2" t="s">
        <v>21</v>
      </c>
      <c r="E2">
        <f>Components!C7*8760*0.8</f>
        <v>175200</v>
      </c>
    </row>
    <row r="3" spans="1:5" x14ac:dyDescent="0.25">
      <c r="A3" t="s">
        <v>82</v>
      </c>
      <c r="B3" t="s">
        <v>90</v>
      </c>
      <c r="C3" t="s">
        <v>19</v>
      </c>
      <c r="D3" t="s">
        <v>3</v>
      </c>
      <c r="E3">
        <v>30000</v>
      </c>
    </row>
    <row r="4" spans="1:5" x14ac:dyDescent="0.25">
      <c r="A4" t="s">
        <v>84</v>
      </c>
      <c r="B4" t="s">
        <v>80</v>
      </c>
      <c r="C4" t="s">
        <v>33</v>
      </c>
      <c r="D4" t="s">
        <v>21</v>
      </c>
      <c r="E4">
        <f>Components!C7*8760*0.7</f>
        <v>153300</v>
      </c>
    </row>
    <row r="5" spans="1:5" x14ac:dyDescent="0.25">
      <c r="A5" t="s">
        <v>84</v>
      </c>
      <c r="B5" t="s">
        <v>90</v>
      </c>
      <c r="C5" t="s">
        <v>19</v>
      </c>
      <c r="D5" t="s">
        <v>3</v>
      </c>
      <c r="E5">
        <v>30000</v>
      </c>
    </row>
    <row r="6" spans="1:5" x14ac:dyDescent="0.25">
      <c r="A6" t="s">
        <v>85</v>
      </c>
      <c r="B6" t="s">
        <v>80</v>
      </c>
      <c r="C6" t="s">
        <v>33</v>
      </c>
      <c r="D6" t="s">
        <v>21</v>
      </c>
      <c r="E6">
        <f>Components!C7*8760*0.6</f>
        <v>131400</v>
      </c>
    </row>
    <row r="7" spans="1:5" x14ac:dyDescent="0.25">
      <c r="A7" t="s">
        <v>86</v>
      </c>
      <c r="B7" t="s">
        <v>80</v>
      </c>
      <c r="C7" t="s">
        <v>33</v>
      </c>
      <c r="D7" t="s">
        <v>21</v>
      </c>
      <c r="E7">
        <f>Components!C7*8760*0.5</f>
        <v>109500</v>
      </c>
    </row>
    <row r="8" spans="1:5" x14ac:dyDescent="0.25">
      <c r="A8" t="s">
        <v>87</v>
      </c>
      <c r="B8" t="s">
        <v>80</v>
      </c>
      <c r="C8" t="s">
        <v>33</v>
      </c>
      <c r="D8" t="s">
        <v>21</v>
      </c>
      <c r="E8">
        <f>Components!C7*8760*0.4</f>
        <v>87600</v>
      </c>
    </row>
    <row r="9" spans="1:5" x14ac:dyDescent="0.25">
      <c r="A9" t="s">
        <v>91</v>
      </c>
      <c r="B9" t="s">
        <v>80</v>
      </c>
      <c r="C9" t="s">
        <v>33</v>
      </c>
      <c r="D9" t="s">
        <v>21</v>
      </c>
      <c r="E9">
        <f>Components!C7*8760*0.3</f>
        <v>65700</v>
      </c>
    </row>
    <row r="10" spans="1:5" x14ac:dyDescent="0.25">
      <c r="A10" t="s">
        <v>92</v>
      </c>
      <c r="B10" t="s">
        <v>80</v>
      </c>
      <c r="C10" t="s">
        <v>33</v>
      </c>
      <c r="D10" t="s">
        <v>21</v>
      </c>
      <c r="E10">
        <f>Components!C7*8760*0.2</f>
        <v>43800</v>
      </c>
    </row>
    <row r="11" spans="1:5" x14ac:dyDescent="0.25">
      <c r="A11" t="s">
        <v>88</v>
      </c>
      <c r="B11" t="s">
        <v>69</v>
      </c>
      <c r="C11" t="s">
        <v>8</v>
      </c>
      <c r="D11" t="s">
        <v>3</v>
      </c>
      <c r="E11">
        <v>0</v>
      </c>
    </row>
    <row r="12" spans="1:5" x14ac:dyDescent="0.25">
      <c r="A12" t="s">
        <v>88</v>
      </c>
      <c r="B12" t="s">
        <v>69</v>
      </c>
      <c r="C12" t="s">
        <v>10</v>
      </c>
      <c r="D12" t="s">
        <v>3</v>
      </c>
      <c r="E12">
        <f>PPAs!C3*1.5</f>
        <v>300</v>
      </c>
    </row>
    <row r="13" spans="1:5" x14ac:dyDescent="0.25">
      <c r="A13" t="s">
        <v>88</v>
      </c>
      <c r="B13" t="s">
        <v>80</v>
      </c>
      <c r="C13" t="s">
        <v>33</v>
      </c>
      <c r="D13" t="s">
        <v>21</v>
      </c>
      <c r="E13">
        <f>Components!C$7*8760*0.3</f>
        <v>65700</v>
      </c>
    </row>
    <row r="14" spans="1:5" x14ac:dyDescent="0.25">
      <c r="A14" t="s">
        <v>89</v>
      </c>
      <c r="B14" t="s">
        <v>69</v>
      </c>
      <c r="C14" t="s">
        <v>8</v>
      </c>
      <c r="D14" t="s">
        <v>3</v>
      </c>
      <c r="E14">
        <f>PPAs!C2*1.5</f>
        <v>450</v>
      </c>
    </row>
    <row r="15" spans="1:5" x14ac:dyDescent="0.25">
      <c r="A15" t="s">
        <v>89</v>
      </c>
      <c r="B15" t="s">
        <v>69</v>
      </c>
      <c r="C15" t="s">
        <v>10</v>
      </c>
      <c r="D15" t="s">
        <v>3</v>
      </c>
      <c r="E15">
        <f>PPAs!C3*1.5</f>
        <v>300</v>
      </c>
    </row>
    <row r="16" spans="1:5" x14ac:dyDescent="0.25">
      <c r="A16" t="s">
        <v>89</v>
      </c>
      <c r="B16" t="s">
        <v>90</v>
      </c>
      <c r="C16" t="s">
        <v>62</v>
      </c>
      <c r="D16" t="s">
        <v>3</v>
      </c>
      <c r="E16">
        <f>E15+E14+PPAs!C4</f>
        <v>800</v>
      </c>
    </row>
    <row r="17" spans="1:5" x14ac:dyDescent="0.25">
      <c r="A17" t="s">
        <v>89</v>
      </c>
      <c r="B17" t="s">
        <v>80</v>
      </c>
      <c r="C17" t="s">
        <v>33</v>
      </c>
      <c r="D17" t="s">
        <v>21</v>
      </c>
      <c r="E17">
        <f>Components!C$7*8760*0.3</f>
        <v>65700</v>
      </c>
    </row>
    <row r="18" spans="1:5" x14ac:dyDescent="0.25">
      <c r="A18" t="s">
        <v>93</v>
      </c>
      <c r="B18" t="s">
        <v>80</v>
      </c>
      <c r="C18" t="s">
        <v>33</v>
      </c>
      <c r="D18" t="s">
        <v>21</v>
      </c>
      <c r="E18">
        <f>Components!C$7*8760*0.3</f>
        <v>65700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580FE-4FAA-4EB4-9011-2CE5D705C8AE}">
  <dimension ref="A1:C5"/>
  <sheetViews>
    <sheetView workbookViewId="0">
      <selection activeCell="A6" sqref="A6:XFD6"/>
    </sheetView>
  </sheetViews>
  <sheetFormatPr defaultRowHeight="30" customHeight="1" x14ac:dyDescent="0.25"/>
  <cols>
    <col min="1" max="2" width="15.5703125" customWidth="1"/>
  </cols>
  <sheetData>
    <row r="1" spans="1:3" ht="30" customHeight="1" x14ac:dyDescent="0.25">
      <c r="A1" s="3" t="s">
        <v>1</v>
      </c>
      <c r="B1" s="3" t="s">
        <v>30</v>
      </c>
      <c r="C1" s="1"/>
    </row>
    <row r="2" spans="1:3" ht="30" customHeight="1" x14ac:dyDescent="0.25">
      <c r="A2" s="5" t="s">
        <v>60</v>
      </c>
      <c r="B2" s="5" t="s">
        <v>29</v>
      </c>
      <c r="C2" s="2"/>
    </row>
    <row r="3" spans="1:3" ht="30" customHeight="1" x14ac:dyDescent="0.25">
      <c r="A3" s="5" t="s">
        <v>13</v>
      </c>
      <c r="B3" s="5" t="s">
        <v>28</v>
      </c>
      <c r="C3" s="2"/>
    </row>
    <row r="4" spans="1:3" ht="30" customHeight="1" x14ac:dyDescent="0.25">
      <c r="A4" s="5" t="s">
        <v>17</v>
      </c>
      <c r="B4" s="5" t="s">
        <v>28</v>
      </c>
      <c r="C4" s="2"/>
    </row>
    <row r="5" spans="1:3" ht="30" customHeight="1" x14ac:dyDescent="0.25">
      <c r="A5" s="5" t="s">
        <v>59</v>
      </c>
      <c r="B5" s="5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7C92-656E-4719-8EA9-FD34C0DD0C21}">
  <dimension ref="A1:T14"/>
  <sheetViews>
    <sheetView tabSelected="1" workbookViewId="0">
      <selection activeCell="G11" sqref="G11"/>
    </sheetView>
  </sheetViews>
  <sheetFormatPr defaultRowHeight="45" customHeight="1" x14ac:dyDescent="0.25"/>
  <cols>
    <col min="1" max="6" width="15.5703125" customWidth="1"/>
    <col min="7" max="7" width="16.85546875" customWidth="1"/>
    <col min="8" max="9" width="15.5703125" customWidth="1"/>
    <col min="10" max="11" width="16.5703125" customWidth="1"/>
    <col min="12" max="19" width="22.42578125" customWidth="1"/>
    <col min="20" max="20" width="34.42578125" customWidth="1"/>
  </cols>
  <sheetData>
    <row r="1" spans="1:20" s="4" customFormat="1" ht="45" customHeight="1" x14ac:dyDescent="0.25">
      <c r="A1" s="3" t="s">
        <v>1</v>
      </c>
      <c r="B1" s="3" t="s">
        <v>2</v>
      </c>
      <c r="C1" s="3" t="s">
        <v>3</v>
      </c>
      <c r="D1" s="3" t="s">
        <v>102</v>
      </c>
      <c r="E1" s="3" t="s">
        <v>37</v>
      </c>
      <c r="F1" s="3" t="s">
        <v>4</v>
      </c>
      <c r="G1" s="3" t="s">
        <v>5</v>
      </c>
      <c r="H1" s="3" t="s">
        <v>6</v>
      </c>
      <c r="I1" s="3" t="s">
        <v>111</v>
      </c>
      <c r="J1" s="3" t="s">
        <v>61</v>
      </c>
      <c r="K1" s="3" t="s">
        <v>112</v>
      </c>
      <c r="L1" s="3" t="s">
        <v>65</v>
      </c>
      <c r="M1" s="3" t="s">
        <v>95</v>
      </c>
      <c r="N1" s="3" t="s">
        <v>94</v>
      </c>
      <c r="O1" s="3" t="s">
        <v>97</v>
      </c>
      <c r="P1" s="3" t="s">
        <v>98</v>
      </c>
      <c r="Q1" s="3" t="s">
        <v>103</v>
      </c>
      <c r="R1" s="3" t="s">
        <v>105</v>
      </c>
      <c r="S1" s="3" t="s">
        <v>104</v>
      </c>
      <c r="T1" s="3" t="s">
        <v>7</v>
      </c>
    </row>
    <row r="2" spans="1:20" ht="45" customHeight="1" x14ac:dyDescent="0.25">
      <c r="A2" s="5" t="s">
        <v>62</v>
      </c>
      <c r="B2" s="2" t="s">
        <v>68</v>
      </c>
      <c r="C2" s="2">
        <f>MAX(C3,SUM(PPAs!C2:C4))</f>
        <v>550</v>
      </c>
      <c r="D2" s="2">
        <f>MAX(D3,SUM(PPAs!D2:D4))</f>
        <v>976.9</v>
      </c>
      <c r="E2" s="2" t="s">
        <v>38</v>
      </c>
      <c r="F2" s="2" t="s">
        <v>63</v>
      </c>
      <c r="G2" s="2" t="s">
        <v>59</v>
      </c>
      <c r="H2" s="6">
        <v>1</v>
      </c>
      <c r="I2" s="6">
        <v>1</v>
      </c>
      <c r="J2" s="2">
        <v>0</v>
      </c>
      <c r="K2" s="2">
        <v>1</v>
      </c>
      <c r="L2" s="2" t="s">
        <v>22</v>
      </c>
      <c r="M2" s="2"/>
      <c r="N2" s="2"/>
      <c r="O2" s="2"/>
      <c r="P2" s="2"/>
      <c r="Q2" s="2">
        <v>0</v>
      </c>
      <c r="R2" s="2">
        <v>0</v>
      </c>
      <c r="S2" s="2">
        <v>50</v>
      </c>
      <c r="T2" s="2" t="s">
        <v>64</v>
      </c>
    </row>
    <row r="3" spans="1:20" ht="45" customHeight="1" x14ac:dyDescent="0.25">
      <c r="A3" s="5" t="s">
        <v>67</v>
      </c>
      <c r="B3" s="2" t="s">
        <v>12</v>
      </c>
      <c r="C3" s="2">
        <f>(C7*J7+J4*C4)</f>
        <v>308.25</v>
      </c>
      <c r="D3" s="2">
        <f>500</f>
        <v>500</v>
      </c>
      <c r="E3" s="2" t="s">
        <v>38</v>
      </c>
      <c r="F3" s="2" t="s">
        <v>59</v>
      </c>
      <c r="G3" s="2" t="s">
        <v>60</v>
      </c>
      <c r="H3" s="6">
        <v>0.99</v>
      </c>
      <c r="I3" s="6">
        <v>0.99</v>
      </c>
      <c r="J3" s="2">
        <v>0</v>
      </c>
      <c r="K3" s="2">
        <v>0</v>
      </c>
      <c r="L3" s="2" t="s">
        <v>22</v>
      </c>
      <c r="M3" s="2"/>
      <c r="N3" s="2"/>
      <c r="O3" s="2"/>
      <c r="P3" s="2"/>
      <c r="Q3" s="2">
        <f>75*1000</f>
        <v>75000</v>
      </c>
      <c r="R3" s="2">
        <v>0</v>
      </c>
      <c r="S3" s="2">
        <v>25</v>
      </c>
      <c r="T3" s="2" t="s">
        <v>55</v>
      </c>
    </row>
    <row r="4" spans="1:20" ht="45" customHeight="1" x14ac:dyDescent="0.25">
      <c r="A4" s="5" t="s">
        <v>0</v>
      </c>
      <c r="B4" s="2" t="s">
        <v>12</v>
      </c>
      <c r="C4" s="6">
        <v>5</v>
      </c>
      <c r="D4" s="6">
        <v>10</v>
      </c>
      <c r="E4" s="2" t="s">
        <v>40</v>
      </c>
      <c r="F4" s="2" t="s">
        <v>58</v>
      </c>
      <c r="G4" s="2" t="s">
        <v>13</v>
      </c>
      <c r="H4" s="6">
        <f>2/18</f>
        <v>0.1111111111111111</v>
      </c>
      <c r="I4" s="6"/>
      <c r="J4" s="2">
        <v>53.4</v>
      </c>
      <c r="K4" s="2">
        <v>0</v>
      </c>
      <c r="L4" s="2" t="s">
        <v>22</v>
      </c>
      <c r="M4" s="2" t="s">
        <v>96</v>
      </c>
      <c r="N4" s="2">
        <v>0.15</v>
      </c>
      <c r="O4" s="2"/>
      <c r="P4" s="2"/>
      <c r="Q4" s="2">
        <f>56467*1000</f>
        <v>56467000</v>
      </c>
      <c r="R4" s="2">
        <f>1129000</f>
        <v>1129000</v>
      </c>
      <c r="S4" s="2">
        <v>25</v>
      </c>
      <c r="T4" s="2" t="s">
        <v>50</v>
      </c>
    </row>
    <row r="5" spans="1:20" ht="45" customHeight="1" x14ac:dyDescent="0.25">
      <c r="A5" s="5" t="s">
        <v>14</v>
      </c>
      <c r="B5" s="2" t="s">
        <v>27</v>
      </c>
      <c r="C5" s="2">
        <v>2</v>
      </c>
      <c r="D5" s="2">
        <v>2</v>
      </c>
      <c r="E5" s="2" t="s">
        <v>40</v>
      </c>
      <c r="F5" s="2" t="s">
        <v>13</v>
      </c>
      <c r="G5" s="2" t="s">
        <v>24</v>
      </c>
      <c r="H5" s="6">
        <v>1</v>
      </c>
      <c r="I5" s="6"/>
      <c r="J5" s="2">
        <v>0</v>
      </c>
      <c r="K5" s="2">
        <v>0</v>
      </c>
      <c r="L5" s="2" t="s">
        <v>22</v>
      </c>
      <c r="M5" s="2"/>
      <c r="N5" s="2"/>
      <c r="O5" s="2"/>
      <c r="P5" s="2"/>
      <c r="Q5" s="2">
        <v>0</v>
      </c>
      <c r="R5" s="2">
        <v>0</v>
      </c>
      <c r="S5" s="2">
        <v>40</v>
      </c>
      <c r="T5" s="2" t="s">
        <v>51</v>
      </c>
    </row>
    <row r="6" spans="1:20" ht="45" customHeight="1" x14ac:dyDescent="0.25">
      <c r="A6" s="5" t="s">
        <v>15</v>
      </c>
      <c r="B6" s="2" t="s">
        <v>16</v>
      </c>
      <c r="C6" s="2">
        <v>15</v>
      </c>
      <c r="D6" s="2">
        <v>30</v>
      </c>
      <c r="E6" s="2" t="s">
        <v>41</v>
      </c>
      <c r="F6" s="2" t="s">
        <v>13</v>
      </c>
      <c r="G6" s="2" t="s">
        <v>13</v>
      </c>
      <c r="H6" s="6">
        <v>1</v>
      </c>
      <c r="I6" s="6">
        <v>1</v>
      </c>
      <c r="J6" s="2">
        <v>0.94</v>
      </c>
      <c r="K6" s="2">
        <v>1</v>
      </c>
      <c r="L6" s="2" t="s">
        <v>22</v>
      </c>
      <c r="M6" s="2"/>
      <c r="N6" s="2"/>
      <c r="O6" s="2"/>
      <c r="P6" s="2"/>
      <c r="Q6" s="2">
        <f>461*1000</f>
        <v>461000</v>
      </c>
      <c r="R6" s="2">
        <v>1000</v>
      </c>
      <c r="S6" s="2">
        <v>25</v>
      </c>
      <c r="T6" s="2" t="s">
        <v>52</v>
      </c>
    </row>
    <row r="7" spans="1:20" ht="45" customHeight="1" x14ac:dyDescent="0.25">
      <c r="A7" s="5" t="s">
        <v>66</v>
      </c>
      <c r="B7" s="2" t="s">
        <v>12</v>
      </c>
      <c r="C7" s="2">
        <v>25</v>
      </c>
      <c r="D7" s="2">
        <v>100</v>
      </c>
      <c r="E7" s="2" t="s">
        <v>42</v>
      </c>
      <c r="F7" s="2" t="s">
        <v>13</v>
      </c>
      <c r="G7" s="2" t="s">
        <v>17</v>
      </c>
      <c r="H7" s="6">
        <v>5.5</v>
      </c>
      <c r="I7" s="6"/>
      <c r="J7" s="2">
        <f>0.3*H7</f>
        <v>1.65</v>
      </c>
      <c r="K7" s="2">
        <v>0</v>
      </c>
      <c r="L7" s="2" t="s">
        <v>22</v>
      </c>
      <c r="M7" s="2" t="s">
        <v>99</v>
      </c>
      <c r="N7" s="2">
        <v>0.107</v>
      </c>
      <c r="O7" s="2">
        <v>0.5</v>
      </c>
      <c r="P7" s="2">
        <v>0.5</v>
      </c>
      <c r="Q7" s="2">
        <f>4192*1000</f>
        <v>4192000</v>
      </c>
      <c r="R7" s="2">
        <f>436000</f>
        <v>436000</v>
      </c>
      <c r="S7" s="2">
        <v>25</v>
      </c>
      <c r="T7" s="2" t="s">
        <v>53</v>
      </c>
    </row>
    <row r="8" spans="1:20" ht="45" customHeight="1" x14ac:dyDescent="0.25">
      <c r="A8" s="5" t="s">
        <v>18</v>
      </c>
      <c r="B8" s="2" t="s">
        <v>16</v>
      </c>
      <c r="C8" s="2">
        <f>C7*31*24</f>
        <v>18600</v>
      </c>
      <c r="D8" s="2">
        <v>40000</v>
      </c>
      <c r="E8" s="2" t="s">
        <v>43</v>
      </c>
      <c r="F8" s="2" t="s">
        <v>17</v>
      </c>
      <c r="G8" s="2" t="s">
        <v>17</v>
      </c>
      <c r="H8" s="6">
        <v>1</v>
      </c>
      <c r="I8" s="6">
        <v>1</v>
      </c>
      <c r="J8" s="2">
        <v>1E-3</v>
      </c>
      <c r="K8" s="2">
        <v>1</v>
      </c>
      <c r="L8" s="2" t="s">
        <v>22</v>
      </c>
      <c r="M8" s="2"/>
      <c r="N8" s="2"/>
      <c r="O8" s="2"/>
      <c r="P8" s="2"/>
      <c r="Q8" s="2">
        <v>5000</v>
      </c>
      <c r="R8" s="2">
        <v>0</v>
      </c>
      <c r="S8" s="2">
        <v>25</v>
      </c>
      <c r="T8" s="2" t="s">
        <v>70</v>
      </c>
    </row>
    <row r="9" spans="1:20" ht="45" customHeight="1" x14ac:dyDescent="0.25">
      <c r="A9" s="5" t="s">
        <v>19</v>
      </c>
      <c r="B9" s="2" t="s">
        <v>27</v>
      </c>
      <c r="C9" s="2">
        <v>15000</v>
      </c>
      <c r="D9" s="2">
        <v>30000</v>
      </c>
      <c r="E9" s="2" t="s">
        <v>43</v>
      </c>
      <c r="F9" s="2" t="s">
        <v>17</v>
      </c>
      <c r="G9" s="2" t="s">
        <v>25</v>
      </c>
      <c r="H9" s="6">
        <v>1</v>
      </c>
      <c r="I9" s="6"/>
      <c r="J9" s="2">
        <v>0</v>
      </c>
      <c r="K9" s="2">
        <v>0</v>
      </c>
      <c r="L9" s="2" t="s">
        <v>36</v>
      </c>
      <c r="M9" s="2"/>
      <c r="N9" s="2"/>
      <c r="O9" s="2"/>
      <c r="P9" s="2"/>
      <c r="Q9" s="2">
        <v>0</v>
      </c>
      <c r="R9" s="2">
        <v>0</v>
      </c>
      <c r="S9" s="2">
        <v>25</v>
      </c>
      <c r="T9" s="2" t="s">
        <v>54</v>
      </c>
    </row>
    <row r="11" spans="1:20" ht="45" customHeight="1" x14ac:dyDescent="0.25">
      <c r="H11" s="6"/>
      <c r="I11" s="6"/>
      <c r="J11" s="2"/>
      <c r="K11" s="2"/>
    </row>
    <row r="12" spans="1:20" ht="45" customHeight="1" x14ac:dyDescent="0.25">
      <c r="H12" s="6"/>
      <c r="I12" s="6"/>
      <c r="J12" s="2"/>
      <c r="K12" s="2"/>
    </row>
    <row r="13" spans="1:20" ht="45" customHeight="1" x14ac:dyDescent="0.25">
      <c r="J13" s="2"/>
      <c r="K13" s="2"/>
    </row>
    <row r="14" spans="1:20" ht="45" customHeight="1" x14ac:dyDescent="0.25">
      <c r="H14" s="6"/>
      <c r="I14" s="6"/>
      <c r="J14" s="2"/>
      <c r="K14" s="2"/>
    </row>
  </sheetData>
  <conditionalFormatting sqref="F2:G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3FE9-ECBC-4C18-ACB0-A1757BCB2761}">
  <dimension ref="A1:N5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2" width="17.85546875" customWidth="1"/>
    <col min="3" max="10" width="15.5703125" customWidth="1"/>
    <col min="11" max="11" width="21.5703125" customWidth="1"/>
    <col min="12" max="13" width="17.85546875" customWidth="1"/>
    <col min="14" max="14" width="15.5703125" customWidth="1"/>
  </cols>
  <sheetData>
    <row r="1" spans="1:14" x14ac:dyDescent="0.25">
      <c r="A1" s="7" t="s">
        <v>1</v>
      </c>
      <c r="B1" s="7" t="s">
        <v>2</v>
      </c>
      <c r="C1" s="7" t="s">
        <v>20</v>
      </c>
      <c r="D1" s="7" t="s">
        <v>56</v>
      </c>
      <c r="E1" s="7" t="s">
        <v>21</v>
      </c>
      <c r="F1" s="7" t="s">
        <v>45</v>
      </c>
      <c r="G1" s="7" t="s">
        <v>101</v>
      </c>
      <c r="H1" s="7" t="s">
        <v>48</v>
      </c>
      <c r="I1" s="7" t="s">
        <v>49</v>
      </c>
      <c r="J1" s="7" t="s">
        <v>44</v>
      </c>
      <c r="K1" s="7" t="s">
        <v>35</v>
      </c>
      <c r="L1" s="7" t="s">
        <v>34</v>
      </c>
      <c r="M1" s="7" t="s">
        <v>57</v>
      </c>
      <c r="N1" s="7"/>
    </row>
    <row r="2" spans="1:14" ht="90" x14ac:dyDescent="0.25">
      <c r="A2" s="8" t="s">
        <v>32</v>
      </c>
      <c r="B2" s="2" t="s">
        <v>24</v>
      </c>
      <c r="C2" s="2">
        <v>5000</v>
      </c>
      <c r="D2" s="2">
        <f>4*C2</f>
        <v>20000</v>
      </c>
      <c r="E2" s="2">
        <v>0.5</v>
      </c>
      <c r="F2" s="2">
        <f>Components!C5</f>
        <v>2</v>
      </c>
      <c r="G2" s="2">
        <v>0</v>
      </c>
      <c r="H2" s="2">
        <f>E2*(1-G2)</f>
        <v>0.5</v>
      </c>
      <c r="I2" s="2">
        <f>E2*(1+G2)</f>
        <v>0.5</v>
      </c>
      <c r="J2" s="2" t="s">
        <v>13</v>
      </c>
      <c r="K2" s="2" t="s">
        <v>22</v>
      </c>
      <c r="L2" s="2" t="s">
        <v>22</v>
      </c>
      <c r="M2" s="2">
        <v>0</v>
      </c>
      <c r="N2" s="2" t="s">
        <v>47</v>
      </c>
    </row>
    <row r="3" spans="1:14" ht="90" x14ac:dyDescent="0.25">
      <c r="A3" s="8" t="s">
        <v>33</v>
      </c>
      <c r="B3" s="2" t="s">
        <v>25</v>
      </c>
      <c r="C3" s="2">
        <v>1100</v>
      </c>
      <c r="D3" s="2">
        <f>4*C3</f>
        <v>4400</v>
      </c>
      <c r="E3" s="2">
        <v>100000</v>
      </c>
      <c r="F3" s="2">
        <f>Components!C9</f>
        <v>15000</v>
      </c>
      <c r="G3" s="2">
        <v>0</v>
      </c>
      <c r="H3" s="2">
        <f>E3*(1-G3)</f>
        <v>100000</v>
      </c>
      <c r="I3" s="2">
        <f>E3*(1+G3)</f>
        <v>100000</v>
      </c>
      <c r="J3" s="2" t="s">
        <v>17</v>
      </c>
      <c r="K3" s="2" t="s">
        <v>36</v>
      </c>
      <c r="L3" s="2" t="s">
        <v>23</v>
      </c>
      <c r="M3" s="2">
        <v>0</v>
      </c>
      <c r="N3" s="2" t="s">
        <v>46</v>
      </c>
    </row>
    <row r="4" spans="1:14" ht="45" x14ac:dyDescent="0.25">
      <c r="A4" s="8" t="s">
        <v>39</v>
      </c>
      <c r="B4" s="2" t="s">
        <v>25</v>
      </c>
      <c r="C4" s="2">
        <v>450</v>
      </c>
      <c r="D4" s="2">
        <v>0</v>
      </c>
      <c r="E4" s="2">
        <f>Components!C9</f>
        <v>15000</v>
      </c>
      <c r="F4" s="2">
        <f>Components!C9</f>
        <v>15000</v>
      </c>
      <c r="G4" s="2"/>
      <c r="H4" s="2"/>
      <c r="I4" s="2"/>
      <c r="J4" s="2" t="s">
        <v>17</v>
      </c>
      <c r="K4" s="2" t="s">
        <v>36</v>
      </c>
      <c r="L4" s="2"/>
      <c r="M4" s="2">
        <v>1</v>
      </c>
      <c r="N4" s="2" t="s">
        <v>100</v>
      </c>
    </row>
    <row r="5" spans="1:14" x14ac:dyDescent="0.25">
      <c r="A5" s="2"/>
      <c r="B5" s="2"/>
      <c r="C5" s="2"/>
      <c r="D5" s="2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9F0F7-3B2A-4D06-AB40-89B8755A542A}">
  <dimension ref="A1:K4"/>
  <sheetViews>
    <sheetView workbookViewId="0">
      <selection activeCell="A7" sqref="A7"/>
    </sheetView>
  </sheetViews>
  <sheetFormatPr defaultColWidth="12.7109375" defaultRowHeight="30" customHeight="1" x14ac:dyDescent="0.25"/>
  <cols>
    <col min="1" max="2" width="13.85546875" customWidth="1"/>
    <col min="6" max="6" width="13.85546875" customWidth="1"/>
    <col min="7" max="7" width="14" customWidth="1"/>
    <col min="11" max="11" width="20.42578125" customWidth="1"/>
  </cols>
  <sheetData>
    <row r="1" spans="1:11" ht="30" customHeight="1" x14ac:dyDescent="0.25">
      <c r="A1" s="7" t="s">
        <v>1</v>
      </c>
      <c r="B1" s="7" t="s">
        <v>2</v>
      </c>
      <c r="C1" s="7" t="s">
        <v>3</v>
      </c>
      <c r="D1" s="7" t="s">
        <v>102</v>
      </c>
      <c r="E1" s="7" t="s">
        <v>37</v>
      </c>
      <c r="F1" s="7" t="s">
        <v>4</v>
      </c>
      <c r="G1" s="7" t="s">
        <v>5</v>
      </c>
      <c r="H1" s="7" t="s">
        <v>20</v>
      </c>
      <c r="I1" s="7" t="s">
        <v>31</v>
      </c>
      <c r="J1" s="7" t="s">
        <v>26</v>
      </c>
      <c r="K1" s="7" t="s">
        <v>7</v>
      </c>
    </row>
    <row r="2" spans="1:11" ht="80.25" customHeight="1" x14ac:dyDescent="0.25">
      <c r="A2" s="5" t="s">
        <v>8</v>
      </c>
      <c r="B2" s="2" t="s">
        <v>69</v>
      </c>
      <c r="C2" s="2">
        <v>300</v>
      </c>
      <c r="D2" s="2">
        <f>0.1*2589</f>
        <v>258.90000000000003</v>
      </c>
      <c r="E2" s="2" t="s">
        <v>38</v>
      </c>
      <c r="F2" s="2" t="s">
        <v>9</v>
      </c>
      <c r="G2" s="2" t="s">
        <v>59</v>
      </c>
      <c r="H2" s="2">
        <v>55.2</v>
      </c>
      <c r="I2" s="2">
        <v>0.18</v>
      </c>
      <c r="J2" s="2">
        <v>1</v>
      </c>
      <c r="K2" s="2" t="s">
        <v>110</v>
      </c>
    </row>
    <row r="3" spans="1:11" ht="82.5" customHeight="1" x14ac:dyDescent="0.25">
      <c r="A3" s="5" t="s">
        <v>10</v>
      </c>
      <c r="B3" s="2" t="s">
        <v>69</v>
      </c>
      <c r="C3" s="2">
        <v>200</v>
      </c>
      <c r="D3" s="2">
        <f>0.1*5391</f>
        <v>539.1</v>
      </c>
      <c r="E3" s="2" t="s">
        <v>38</v>
      </c>
      <c r="F3" s="2" t="s">
        <v>11</v>
      </c>
      <c r="G3" s="2" t="s">
        <v>59</v>
      </c>
      <c r="H3" s="2">
        <v>66.2</v>
      </c>
      <c r="I3" s="2">
        <v>0.38</v>
      </c>
      <c r="J3" s="2">
        <v>1</v>
      </c>
      <c r="K3" s="2" t="s">
        <v>109</v>
      </c>
    </row>
    <row r="4" spans="1:11" ht="93.75" customHeight="1" x14ac:dyDescent="0.25">
      <c r="A4" s="5" t="s">
        <v>106</v>
      </c>
      <c r="B4" s="2" t="s">
        <v>69</v>
      </c>
      <c r="C4" s="2">
        <v>50</v>
      </c>
      <c r="D4" s="2">
        <f>0.1*1789</f>
        <v>178.9</v>
      </c>
      <c r="E4" s="2" t="s">
        <v>38</v>
      </c>
      <c r="F4" s="2" t="s">
        <v>107</v>
      </c>
      <c r="G4" s="2" t="s">
        <v>59</v>
      </c>
      <c r="H4" s="2">
        <v>77.400000000000006</v>
      </c>
      <c r="I4" s="2">
        <v>1</v>
      </c>
      <c r="J4" s="2">
        <v>0</v>
      </c>
      <c r="K4" s="2" t="s">
        <v>108</v>
      </c>
    </row>
  </sheetData>
  <conditionalFormatting sqref="F2:G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DFE2-21C8-4CC0-B4F1-F354F2538655}">
  <dimension ref="A1:C10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6.42578125" customWidth="1"/>
    <col min="3" max="3" width="12.85546875" customWidth="1"/>
  </cols>
  <sheetData>
    <row r="1" spans="1:3" x14ac:dyDescent="0.25">
      <c r="A1" s="11" t="s">
        <v>72</v>
      </c>
      <c r="B1" t="s">
        <v>73</v>
      </c>
      <c r="C1" t="s">
        <v>75</v>
      </c>
    </row>
    <row r="2" spans="1:3" x14ac:dyDescent="0.25">
      <c r="A2" t="str">
        <f>PPAs!A2</f>
        <v>SolarPower</v>
      </c>
      <c r="B2" s="10">
        <f>PPAs!C2*PPAs!I2*8760/1000</f>
        <v>473.04</v>
      </c>
      <c r="C2" s="9">
        <f>B2*PPAs!H2/1000</f>
        <v>26.111808</v>
      </c>
    </row>
    <row r="3" spans="1:3" x14ac:dyDescent="0.25">
      <c r="A3" t="str">
        <f>PPAs!A3</f>
        <v>WindPower</v>
      </c>
      <c r="B3" s="10">
        <f>PPAs!C3*PPAs!I3*8760/1000</f>
        <v>665.76</v>
      </c>
      <c r="C3" s="9">
        <f>B3*PPAs!H3/1000</f>
        <v>44.073312000000001</v>
      </c>
    </row>
    <row r="4" spans="1:3" x14ac:dyDescent="0.25">
      <c r="A4" t="str">
        <f>PPAs!A4</f>
        <v>HydroPower</v>
      </c>
      <c r="B4" s="10">
        <f>PPAs!C4*PPAs!I4*8760/1000</f>
        <v>438</v>
      </c>
      <c r="C4" s="9">
        <f>B4*PPAs!H4/1000</f>
        <v>33.901200000000003</v>
      </c>
    </row>
    <row r="5" spans="1:3" x14ac:dyDescent="0.25">
      <c r="A5" s="11" t="s">
        <v>71</v>
      </c>
      <c r="B5" s="12">
        <f>SUM(B2:B4)</f>
        <v>1576.8</v>
      </c>
      <c r="C5" s="13">
        <f>SUM(C2:C4)</f>
        <v>104.08632</v>
      </c>
    </row>
    <row r="7" spans="1:3" x14ac:dyDescent="0.25">
      <c r="A7" s="11" t="s">
        <v>74</v>
      </c>
      <c r="B7" t="s">
        <v>73</v>
      </c>
      <c r="C7" t="s">
        <v>76</v>
      </c>
    </row>
    <row r="8" spans="1:3" x14ac:dyDescent="0.25">
      <c r="A8" t="str">
        <f>Contracts!A2</f>
        <v>Hydrogen1</v>
      </c>
      <c r="B8" s="10">
        <f>Contracts!E2*Components!J4/Components!H3*8760/1000</f>
        <v>236.25454545454545</v>
      </c>
      <c r="C8">
        <f>Contracts!E2*Contracts!C2*8760/1000000</f>
        <v>21.9</v>
      </c>
    </row>
    <row r="9" spans="1:3" x14ac:dyDescent="0.25">
      <c r="A9" t="str">
        <f>Contracts!A3</f>
        <v>Ammonia1</v>
      </c>
      <c r="B9" s="10">
        <f>Contracts!E3*(Components!J7+Components!J4/Components!H7)/Components!H3/1000</f>
        <v>1147.3829201101928</v>
      </c>
      <c r="C9">
        <f>Contracts!E3*Contracts!C3/1000000</f>
        <v>110</v>
      </c>
    </row>
    <row r="10" spans="1:3" x14ac:dyDescent="0.25">
      <c r="A10" s="11" t="s">
        <v>71</v>
      </c>
      <c r="B10" s="12">
        <f>SUM(B8:B9)</f>
        <v>1383.6374655647382</v>
      </c>
      <c r="C10" s="12">
        <f>SUM(C8:C9)</f>
        <v>131.9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Carriers</vt:lpstr>
      <vt:lpstr>Components</vt:lpstr>
      <vt:lpstr>Contracts</vt:lpstr>
      <vt:lpstr>PPAs</vt:lpstr>
      <vt:lpstr>Annual Contract 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Frederik Skou Fertin</dc:creator>
  <cp:lastModifiedBy>Frederik Skou Fertin</cp:lastModifiedBy>
  <dcterms:created xsi:type="dcterms:W3CDTF">2025-09-04T07:41:58Z</dcterms:created>
  <dcterms:modified xsi:type="dcterms:W3CDTF">2026-05-21T14:10:57Z</dcterms:modified>
</cp:coreProperties>
</file>